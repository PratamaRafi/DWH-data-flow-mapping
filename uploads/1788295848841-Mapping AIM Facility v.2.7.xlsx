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.pratama\Downloads\"/>
    </mc:Choice>
  </mc:AlternateContent>
  <xr:revisionPtr revIDLastSave="0" documentId="13_ncr:1_{28D9F95C-8998-41CD-87AF-EC93ABE6DE6E}" xr6:coauthVersionLast="47" xr6:coauthVersionMax="47" xr10:uidLastSave="{00000000-0000-0000-0000-000000000000}"/>
  <bookViews>
    <workbookView xWindow="-108" yWindow="-108" windowWidth="23256" windowHeight="12456" xr2:uid="{FC65FC51-1867-4077-B808-53EBEEB0678C}"/>
  </bookViews>
  <sheets>
    <sheet name="IM_LIMIT - NEW" sheetId="46" r:id="rId1"/>
  </sheets>
  <definedNames>
    <definedName name="\01">#N/A</definedName>
    <definedName name="\02">#N/A</definedName>
    <definedName name="\1">#N/A</definedName>
    <definedName name="\2">#N/A</definedName>
    <definedName name="\a">#N/A</definedName>
    <definedName name="\A770">#N/A</definedName>
    <definedName name="\I">#N/A</definedName>
    <definedName name="\l">#N/A</definedName>
    <definedName name="\P">#N/A</definedName>
    <definedName name="_____kol1" localSheetId="0">#REF!</definedName>
    <definedName name="_____kol1">#REF!</definedName>
    <definedName name="____1" localSheetId="0">#REF!</definedName>
    <definedName name="____1">#REF!</definedName>
    <definedName name="____1_0703" localSheetId="0">#REF!</definedName>
    <definedName name="____1_0703">#REF!</definedName>
    <definedName name="____1_0709" localSheetId="0">#REF!</definedName>
    <definedName name="____1_0709">#REF!</definedName>
    <definedName name="____2" localSheetId="0">#REF!</definedName>
    <definedName name="____2">#REF!</definedName>
    <definedName name="____2_0703" localSheetId="0">#REF!</definedName>
    <definedName name="____2_0703">#REF!</definedName>
    <definedName name="____3" localSheetId="0">#REF!</definedName>
    <definedName name="____3">#REF!</definedName>
    <definedName name="____3_0703" localSheetId="0">#REF!</definedName>
    <definedName name="____3_0703">#REF!</definedName>
    <definedName name="____3_0709" localSheetId="0">#REF!</definedName>
    <definedName name="____3_0709">#REF!</definedName>
    <definedName name="____4" localSheetId="0">#REF!</definedName>
    <definedName name="____4">#REF!</definedName>
    <definedName name="____4_0703" localSheetId="0">#REF!</definedName>
    <definedName name="____4_0703">#REF!</definedName>
    <definedName name="____4_0803" localSheetId="0">#REF!</definedName>
    <definedName name="____4_0803">#REF!</definedName>
    <definedName name="____5" localSheetId="0">#REF!</definedName>
    <definedName name="____5">#REF!</definedName>
    <definedName name="____5_0703" localSheetId="0">#REF!</definedName>
    <definedName name="____5_0703">#REF!</definedName>
    <definedName name="____kol1" localSheetId="0">#REF!</definedName>
    <definedName name="____kol1">#REF!</definedName>
    <definedName name="___1" localSheetId="0">#REF!</definedName>
    <definedName name="___1">#REF!</definedName>
    <definedName name="___1_0703" localSheetId="0">#REF!</definedName>
    <definedName name="___1_0703">#REF!</definedName>
    <definedName name="___1_0709" localSheetId="0">#REF!</definedName>
    <definedName name="___1_0709">#REF!</definedName>
    <definedName name="___2" localSheetId="0">#REF!</definedName>
    <definedName name="___2">#REF!</definedName>
    <definedName name="___2_0703" localSheetId="0">#REF!</definedName>
    <definedName name="___2_0703">#REF!</definedName>
    <definedName name="___2_0709" localSheetId="0">#REF!</definedName>
    <definedName name="___2_0709">#REF!</definedName>
    <definedName name="___3" localSheetId="0">#REF!</definedName>
    <definedName name="___3">#REF!</definedName>
    <definedName name="___3_0703" localSheetId="0">#REF!</definedName>
    <definedName name="___3_0703">#REF!</definedName>
    <definedName name="___3_0709" localSheetId="0">#REF!</definedName>
    <definedName name="___3_0709">#REF!</definedName>
    <definedName name="___4" localSheetId="0">#REF!</definedName>
    <definedName name="___4">#REF!</definedName>
    <definedName name="___4_0703" localSheetId="0">#REF!</definedName>
    <definedName name="___4_0703">#REF!</definedName>
    <definedName name="___4_0803" localSheetId="0">#REF!</definedName>
    <definedName name="___4_0803">#REF!</definedName>
    <definedName name="___5" localSheetId="0">#REF!</definedName>
    <definedName name="___5">#REF!</definedName>
    <definedName name="___5_0703" localSheetId="0">#REF!</definedName>
    <definedName name="___5_0703">#REF!</definedName>
    <definedName name="___kol1" localSheetId="0">#REF!</definedName>
    <definedName name="___kol1">#REF!</definedName>
    <definedName name="___Z1" localSheetId="0" hidden="1">#REF!</definedName>
    <definedName name="___Z1" hidden="1">#REF!</definedName>
    <definedName name="___Z2" localSheetId="0" hidden="1">#REF!</definedName>
    <definedName name="___Z2" hidden="1">#REF!</definedName>
    <definedName name="__1" localSheetId="0">#REF!</definedName>
    <definedName name="__1">#REF!</definedName>
    <definedName name="__1_0703" localSheetId="0">#REF!</definedName>
    <definedName name="__1_0703">#REF!</definedName>
    <definedName name="__1_0709" localSheetId="0">#REF!</definedName>
    <definedName name="__1_0709">#REF!</definedName>
    <definedName name="__2" localSheetId="0">#REF!</definedName>
    <definedName name="__2">#REF!</definedName>
    <definedName name="__2_0703" localSheetId="0">#REF!</definedName>
    <definedName name="__2_0703">#REF!</definedName>
    <definedName name="__2_0709" localSheetId="0">#REF!</definedName>
    <definedName name="__2_0709">#REF!</definedName>
    <definedName name="__3" localSheetId="0">#REF!</definedName>
    <definedName name="__3">#REF!</definedName>
    <definedName name="__3_0703" localSheetId="0">#REF!</definedName>
    <definedName name="__3_0703">#REF!</definedName>
    <definedName name="__3_0709" localSheetId="0">#REF!</definedName>
    <definedName name="__3_0709">#REF!</definedName>
    <definedName name="__4" localSheetId="0">#REF!</definedName>
    <definedName name="__4">#REF!</definedName>
    <definedName name="__4_0703" localSheetId="0">#REF!</definedName>
    <definedName name="__4_0703">#REF!</definedName>
    <definedName name="__4_0803" localSheetId="0">#REF!</definedName>
    <definedName name="__4_0803">#REF!</definedName>
    <definedName name="__5" localSheetId="0">#REF!</definedName>
    <definedName name="__5">#REF!</definedName>
    <definedName name="__5_0703" localSheetId="0">#REF!</definedName>
    <definedName name="__5_0703">#REF!</definedName>
    <definedName name="__abc2" localSheetId="0">#REF!</definedName>
    <definedName name="__abc2">#REF!</definedName>
    <definedName name="__kol1" localSheetId="0">#REF!</definedName>
    <definedName name="__kol1">#REF!</definedName>
    <definedName name="__Regression_X" localSheetId="0" hidden="1">#REF!</definedName>
    <definedName name="__Regression_X" hidden="1">#REF!</definedName>
    <definedName name="_1" localSheetId="0">#REF!</definedName>
    <definedName name="_1">#REF!</definedName>
    <definedName name="_1_0703" localSheetId="0">#REF!</definedName>
    <definedName name="_1_0703">#REF!</definedName>
    <definedName name="_1_0709" localSheetId="0">#REF!</definedName>
    <definedName name="_1_0709">#REF!</definedName>
    <definedName name="_1_1">#N/A</definedName>
    <definedName name="_10_4">#N/A</definedName>
    <definedName name="_10Z2_" localSheetId="0" hidden="1">#REF!</definedName>
    <definedName name="_10Z2_" hidden="1">#REF!</definedName>
    <definedName name="_11_4_0703" localSheetId="0">#REF!</definedName>
    <definedName name="_11_4_0703">#REF!</definedName>
    <definedName name="_12_4_0803" localSheetId="0">#REF!</definedName>
    <definedName name="_12_4_0803">#REF!</definedName>
    <definedName name="_13_5">#N/A</definedName>
    <definedName name="_14_5_0703" localSheetId="0">#REF!</definedName>
    <definedName name="_14_5_0703">#REF!</definedName>
    <definedName name="_1A1_" localSheetId="0">#REF!</definedName>
    <definedName name="_1A1_">#REF!</definedName>
    <definedName name="_2" localSheetId="0">#REF!</definedName>
    <definedName name="_2">#REF!</definedName>
    <definedName name="_2_0703" localSheetId="0">#REF!</definedName>
    <definedName name="_2_0703">#REF!</definedName>
    <definedName name="_2_0709" localSheetId="0">#REF!</definedName>
    <definedName name="_2_0709">#REF!</definedName>
    <definedName name="_2_1_0703" localSheetId="0">#REF!</definedName>
    <definedName name="_2_1_0703">#REF!</definedName>
    <definedName name="_2ID2_" localSheetId="0">#REF!</definedName>
    <definedName name="_2ID2_">#REF!</definedName>
    <definedName name="_3" localSheetId="0">#REF!</definedName>
    <definedName name="_3">#REF!</definedName>
    <definedName name="_3_0703" localSheetId="0">#REF!</definedName>
    <definedName name="_3_0703">#REF!</definedName>
    <definedName name="_3_0709" localSheetId="0">#REF!</definedName>
    <definedName name="_3_0709">#REF!</definedName>
    <definedName name="_3_1_0709" localSheetId="0">#REF!</definedName>
    <definedName name="_3_1_0709">#REF!</definedName>
    <definedName name="_3Z1_" localSheetId="0" hidden="1">#REF!</definedName>
    <definedName name="_3Z1_" hidden="1">#REF!</definedName>
    <definedName name="_4" localSheetId="0">#REF!</definedName>
    <definedName name="_4">#REF!</definedName>
    <definedName name="_4_0703" localSheetId="0">#REF!</definedName>
    <definedName name="_4_0703">#REF!</definedName>
    <definedName name="_4_0803" localSheetId="0">#REF!</definedName>
    <definedName name="_4_0803">#REF!</definedName>
    <definedName name="_4_2">#N/A</definedName>
    <definedName name="_4Z1_" localSheetId="0" hidden="1">#REF!</definedName>
    <definedName name="_4Z1_" hidden="1">#REF!</definedName>
    <definedName name="_4Z2_" localSheetId="0" hidden="1">#REF!</definedName>
    <definedName name="_4Z2_" hidden="1">#REF!</definedName>
    <definedName name="_5" localSheetId="0">#REF!</definedName>
    <definedName name="_5">#REF!</definedName>
    <definedName name="_5_0703" localSheetId="0">#REF!</definedName>
    <definedName name="_5_0703">#REF!</definedName>
    <definedName name="_5_2_0703" localSheetId="0">#REF!</definedName>
    <definedName name="_5_2_0703">#REF!</definedName>
    <definedName name="_5a2_" localSheetId="0" hidden="1">{"'NewYork'!$AD$46","'NewYork'!$A$7:$BG$42"}</definedName>
    <definedName name="_5a2_" hidden="1">{"'NewYork'!$AD$46","'NewYork'!$A$7:$BG$42"}</definedName>
    <definedName name="_5取引種類ファイル_全部" localSheetId="0">#REF!</definedName>
    <definedName name="_5取引種類ファイル_全部">#REF!</definedName>
    <definedName name="_6_2_0709" localSheetId="0">#REF!</definedName>
    <definedName name="_6_2_0709">#REF!</definedName>
    <definedName name="_6新海外_ＧＬ_取引種類ファイル抽出" localSheetId="0">#REF!</definedName>
    <definedName name="_6新海外_ＧＬ_取引種類ファイル抽出">#REF!</definedName>
    <definedName name="_7_3">#N/A</definedName>
    <definedName name="_8_3_0703" localSheetId="0">#REF!</definedName>
    <definedName name="_8_3_0703">#REF!</definedName>
    <definedName name="_8H2_" localSheetId="0" hidden="1">{"'NewYork'!$AD$46","'NewYork'!$A$7:$BG$42"}</definedName>
    <definedName name="_8H2_" hidden="1">{"'NewYork'!$AD$46","'NewYork'!$A$7:$BG$42"}</definedName>
    <definedName name="_8Z2_" localSheetId="0" hidden="1">#REF!</definedName>
    <definedName name="_8Z2_" hidden="1">#REF!</definedName>
    <definedName name="_9_3_0709" localSheetId="0">#REF!</definedName>
    <definedName name="_9_3_0709">#REF!</definedName>
    <definedName name="_9Z1_" localSheetId="0" hidden="1">#REF!</definedName>
    <definedName name="_9Z1_" hidden="1">#REF!</definedName>
    <definedName name="_abc2" localSheetId="0">#REF!</definedName>
    <definedName name="_abc2">#REF!</definedName>
    <definedName name="_Base">#REF!</definedName>
    <definedName name="_Fill" localSheetId="0" hidden="1">#REF!</definedName>
    <definedName name="_Fill" hidden="1">#REF!</definedName>
    <definedName name="_xlnm._FilterDatabase" localSheetId="0" hidden="1">'IM_LIMIT - NEW'!$A$74:$I$195</definedName>
    <definedName name="_ID2" localSheetId="0">#REF!</definedName>
    <definedName name="_ID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l1">#N/A</definedName>
    <definedName name="_MAR02">#N/A</definedName>
    <definedName name="_MAY02">#N/A</definedName>
    <definedName name="_Order1" hidden="1">255</definedName>
    <definedName name="_Order2" hidden="1">255</definedName>
    <definedName name="_Parse_Out" localSheetId="0" hidden="1">#REF!</definedName>
    <definedName name="_Parse_Out" hidden="1">#REF!</definedName>
    <definedName name="_Regression_X" localSheetId="0" hidden="1">#REF!</definedName>
    <definedName name="_Regression_X" hidden="1">#REF!</definedName>
    <definedName name="_Regression_X1" localSheetId="0" hidden="1">#REF!</definedName>
    <definedName name="_Regression_X1" hidden="1">#REF!</definedName>
    <definedName name="_s1" localSheetId="0" hidden="1">{"'NewYork'!$AD$46","'NewYork'!$A$7:$BG$42"}</definedName>
    <definedName name="_s1" hidden="1">{"'NewYork'!$AD$46","'NewYork'!$A$7:$BG$42"}</definedName>
    <definedName name="_s2" localSheetId="0" hidden="1">{"'NewYork'!$AD$46","'NewYork'!$A$7:$BG$42"}</definedName>
    <definedName name="_s2" hidden="1">{"'NewYork'!$AD$46","'NewYork'!$A$7:$BG$42"}</definedName>
    <definedName name="_SEP02">#N/A</definedName>
    <definedName name="_Sort" localSheetId="0" hidden="1">#REF!</definedName>
    <definedName name="_Sort" hidden="1">#REF!</definedName>
    <definedName name="_tmp2" hidden="1">#N/A</definedName>
    <definedName name="_X" localSheetId="0" hidden="1">#REF!</definedName>
    <definedName name="_X" hidden="1">#REF!</definedName>
    <definedName name="_Z1" hidden="1">#N/A</definedName>
    <definedName name="_Z2" hidden="1">#N/A</definedName>
    <definedName name="_zz2" localSheetId="0" hidden="1">#REF!</definedName>
    <definedName name="_zz2" hidden="1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 hidden="1">#REF!</definedName>
    <definedName name="aaa" hidden="1">#REF!</definedName>
    <definedName name="ＡＡＡＡ" localSheetId="0" hidden="1">#REF!</definedName>
    <definedName name="ＡＡＡＡ" hidden="1">#REF!</definedName>
    <definedName name="AAAAA" localSheetId="0" hidden="1">#REF!</definedName>
    <definedName name="AAAAA" hidden="1">#REF!</definedName>
    <definedName name="aaaaaaaa" localSheetId="0" hidden="1">#REF!</definedName>
    <definedName name="aaaaaaaa" hidden="1">#REF!</definedName>
    <definedName name="AAADD" localSheetId="0">#REF!</definedName>
    <definedName name="AAADD">#REF!</definedName>
    <definedName name="AB" localSheetId="0" hidden="1">#REF!</definedName>
    <definedName name="AB" hidden="1">#REF!</definedName>
    <definedName name="abc" localSheetId="0">#REF!</definedName>
    <definedName name="abc">#REF!</definedName>
    <definedName name="ABET">#N/A</definedName>
    <definedName name="ACCOUNT_COM" localSheetId="0">#REF!</definedName>
    <definedName name="ACCOUNT_COM">#REF!</definedName>
    <definedName name="Account_Org" localSheetId="0">#REF!</definedName>
    <definedName name="Account_Org">#REF!</definedName>
    <definedName name="aktiva">#N/A</definedName>
    <definedName name="ap" localSheetId="0">#REF!</definedName>
    <definedName name="ap">#REF!</definedName>
    <definedName name="APINAME" localSheetId="0">#REF!</definedName>
    <definedName name="APINAME">#REF!</definedName>
    <definedName name="APL" localSheetId="0">#REF!</definedName>
    <definedName name="APL">#REF!</definedName>
    <definedName name="APLC" localSheetId="0">#REF!</definedName>
    <definedName name="APLC">#REF!</definedName>
    <definedName name="aplcod" localSheetId="0">#REF!</definedName>
    <definedName name="aplcod">#REF!</definedName>
    <definedName name="aplcode" localSheetId="0">#REF!</definedName>
    <definedName name="aplcode">#REF!</definedName>
    <definedName name="ａｐｌｃｏｄｅ１" localSheetId="0">#REF!</definedName>
    <definedName name="ａｐｌｃｏｄｅ１">#REF!</definedName>
    <definedName name="APLN" localSheetId="0">#REF!</definedName>
    <definedName name="APLN">#REF!</definedName>
    <definedName name="aplnam" localSheetId="0">#REF!</definedName>
    <definedName name="aplnam">#REF!</definedName>
    <definedName name="aplname" localSheetId="0">#REF!</definedName>
    <definedName name="aplname">#REF!</definedName>
    <definedName name="aplname1" localSheetId="0">#REF!</definedName>
    <definedName name="aplname1">#REF!</definedName>
    <definedName name="APLNSME1" localSheetId="0">#REF!</definedName>
    <definedName name="APLNSME1">#REF!</definedName>
    <definedName name="Approach" localSheetId="0">#REF!</definedName>
    <definedName name="Approach">#REF!</definedName>
    <definedName name="APR">#N/A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d">#N/A</definedName>
    <definedName name="asdfasf" localSheetId="0" hidden="1">#REF!</definedName>
    <definedName name="asdfasf" hidden="1">#REF!</definedName>
    <definedName name="asdgasg" localSheetId="0" hidden="1">{"'NewYork'!$AD$46","'NewYork'!$A$7:$BG$42"}</definedName>
    <definedName name="asdgasg" hidden="1">{"'NewYork'!$AD$46","'NewYork'!$A$7:$BG$42"}</definedName>
    <definedName name="ASET">#REF!</definedName>
    <definedName name="assets">#N/A</definedName>
    <definedName name="AUDIT">#N/A</definedName>
    <definedName name="audited">#N/A</definedName>
    <definedName name="AUG">#N/A</definedName>
    <definedName name="az" localSheetId="0" hidden="1">#REF!</definedName>
    <definedName name="az" hidden="1">#REF!</definedName>
    <definedName name="b" localSheetId="0">#REF!</definedName>
    <definedName name="b">#REF!</definedName>
    <definedName name="base_">#REF!</definedName>
    <definedName name="base_d">#REF!</definedName>
    <definedName name="BaseWadiah">#REF!</definedName>
    <definedName name="bb">#REF!</definedName>
    <definedName name="ｂｂｂ" localSheetId="0" hidden="1">#REF!</definedName>
    <definedName name="ｂｂｂ" hidden="1">#REF!</definedName>
    <definedName name="BBBB" localSheetId="0" hidden="1">#REF!</definedName>
    <definedName name="BBBB" hidden="1">#REF!</definedName>
    <definedName name="BDN">#REF!</definedName>
    <definedName name="BG_Del" hidden="1">15</definedName>
    <definedName name="BG_Ins" hidden="1">4</definedName>
    <definedName name="BG_Mod" hidden="1">6</definedName>
    <definedName name="BLN">#REF!</definedName>
    <definedName name="blok" localSheetId="0">#REF!</definedName>
    <definedName name="blok">#REF!</definedName>
    <definedName name="BLOK2" localSheetId="0">#REF!</definedName>
    <definedName name="BLOK2">#REF!</definedName>
    <definedName name="bloklah" localSheetId="0">#REF!</definedName>
    <definedName name="bloklah">#REF!</definedName>
    <definedName name="btmu" localSheetId="0">#REF!</definedName>
    <definedName name="btmu">#REF!</definedName>
    <definedName name="cc" localSheetId="0" hidden="1">#REF!</definedName>
    <definedName name="cc">#REF!</definedName>
    <definedName name="CCC" localSheetId="0">#REF!</definedName>
    <definedName name="CCC">#REF!</definedName>
    <definedName name="ＣＣＣＣ" localSheetId="0" hidden="1">#REF!</definedName>
    <definedName name="ＣＣＣＣ" hidden="1">#REF!</definedName>
    <definedName name="ccccc" localSheetId="0" hidden="1">#REF!</definedName>
    <definedName name="ccccc" hidden="1">#REF!</definedName>
    <definedName name="CCCCCCCCCC" localSheetId="0" hidden="1">#REF!</definedName>
    <definedName name="CCCCCCCCCC" hidden="1">#REF!</definedName>
    <definedName name="CCCCCCCCCCCC" localSheetId="0" hidden="1">#REF!</definedName>
    <definedName name="CCCCCCCCCCCC" hidden="1">#REF!</definedName>
    <definedName name="CCY" localSheetId="0">#REF!</definedName>
    <definedName name="CCY">#REF!</definedName>
    <definedName name="check" localSheetId="0">#REF!</definedName>
    <definedName name="check">#REF!</definedName>
    <definedName name="Code_other_than_MS_Subsidiaries" localSheetId="0">#REF!</definedName>
    <definedName name="Code_other_than_MS_Subsidiaries">#REF!</definedName>
    <definedName name="Command_Click" localSheetId="0">#REF!</definedName>
    <definedName name="Command_Click">#REF!</definedName>
    <definedName name="COUNTRY">#REF!</definedName>
    <definedName name="COUNT指定" localSheetId="0">#REF!</definedName>
    <definedName name="COUNT指定">#REF!</definedName>
    <definedName name="CP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ATE">#N/A</definedName>
    <definedName name="ｄｄ" localSheetId="0" hidden="1">#REF!</definedName>
    <definedName name="ｄｄ" hidden="1">#REF!</definedName>
    <definedName name="Ddata" localSheetId="0">#REF!</definedName>
    <definedName name="Ddata">#REF!</definedName>
    <definedName name="ｄｄｄ" localSheetId="0" hidden="1">#REF!</definedName>
    <definedName name="ｄｄｄ" hidden="1">#REF!</definedName>
    <definedName name="ddddd" localSheetId="0" hidden="1">#REF!</definedName>
    <definedName name="ddddd" hidden="1">#REF!</definedName>
    <definedName name="DEMAND_DEPOSIT">#N/A</definedName>
    <definedName name="DEMAND_DEPOSITS">#N/A</definedName>
    <definedName name="df">#N/A</definedName>
    <definedName name="DF_BRS_DEMAND">#N/A</definedName>
    <definedName name="DJDC">#REF!</definedName>
    <definedName name="dp_">#REF!</definedName>
    <definedName name="DSD">#REF!</definedName>
    <definedName name="DSK">#REF!</definedName>
    <definedName name="dt">#N/A</definedName>
    <definedName name="DT_BRS_DEMAND">#N/A</definedName>
    <definedName name="DTES">#REF!</definedName>
    <definedName name="e" localSheetId="0" hidden="1">#REF!</definedName>
    <definedName name="e" hidden="1">#REF!</definedName>
    <definedName name="ee" localSheetId="0" hidden="1">#REF!</definedName>
    <definedName name="ee" hidden="1">#REF!</definedName>
    <definedName name="EEE" localSheetId="0" hidden="1">#REF!</definedName>
    <definedName name="EEE" hidden="1">#REF!</definedName>
    <definedName name="EEEE" localSheetId="0" hidden="1">#REF!</definedName>
    <definedName name="EEEE" hidden="1">#REF!</definedName>
    <definedName name="Eng" localSheetId="0">#REF!</definedName>
    <definedName name="Eng">#REF!</definedName>
    <definedName name="EUR">#N/A</definedName>
    <definedName name="f" localSheetId="0" hidden="1">#REF!</definedName>
    <definedName name="f">#REF!</definedName>
    <definedName name="ｆｃｘｖｂｂ" localSheetId="0">#REF!</definedName>
    <definedName name="ｆｃｘｖｂｂ">#REF!</definedName>
    <definedName name="FEB">#N/A</definedName>
    <definedName name="ｆｆ" localSheetId="0" hidden="1">#REF!</definedName>
    <definedName name="ｆｆ" hidden="1">#REF!</definedName>
    <definedName name="ｆｆｆ" localSheetId="0" hidden="1">#REF!</definedName>
    <definedName name="ｆｆｆ" hidden="1">#REF!</definedName>
    <definedName name="FFFF" localSheetId="0" hidden="1">#REF!</definedName>
    <definedName name="FFFF" hidden="1">#REF!</definedName>
    <definedName name="ＦＦＦＦＦ" localSheetId="0" hidden="1">{"'NewYork'!$AD$46","'NewYork'!$A$7:$BG$42"}</definedName>
    <definedName name="ＦＦＦＦＦ" hidden="1">{"'NewYork'!$AD$46","'NewYork'!$A$7:$BG$42"}</definedName>
    <definedName name="FFFFFF" localSheetId="0" hidden="1">{"'NewYork'!$AD$46","'NewYork'!$A$7:$BG$42"}</definedName>
    <definedName name="FFFFFF" hidden="1">{"'NewYork'!$AD$46","'NewYork'!$A$7:$BG$42"}</definedName>
    <definedName name="ＦＬＣＴＲＧ２0" localSheetId="0" hidden="1">#REF!</definedName>
    <definedName name="ＦＬＣＴＲＧ２0" hidden="1">#REF!</definedName>
    <definedName name="Form001020300">#REF!</definedName>
    <definedName name="Form002020300">#REF!</definedName>
    <definedName name="Form002520300">#REF!</definedName>
    <definedName name="Form003020300">#REF!</definedName>
    <definedName name="Form003520300">#REF!</definedName>
    <definedName name="Form004320300">#REF!</definedName>
    <definedName name="Form004620300">#REF!</definedName>
    <definedName name="Form110020300">#REF!</definedName>
    <definedName name="Form111020300">#REF!</definedName>
    <definedName name="Form120020300">#REF!</definedName>
    <definedName name="Form130020300">#REF!</definedName>
    <definedName name="Form210020300">#REF!</definedName>
    <definedName name="Form220020300">#REF!</definedName>
    <definedName name="Form230020300">#REF!</definedName>
    <definedName name="Form249020300">#REF!</definedName>
    <definedName name="Form255020300">#REF!</definedName>
    <definedName name="Form260020300">#REF!</definedName>
    <definedName name="Form279020300">#REF!</definedName>
    <definedName name="Form301020300">#REF!</definedName>
    <definedName name="Form302020300">#REF!</definedName>
    <definedName name="Form531020300">#REF!</definedName>
    <definedName name="FTP" localSheetId="0">#REF!</definedName>
    <definedName name="FTP">#REF!</definedName>
    <definedName name="ｇ" localSheetId="0" hidden="1">#REF!</definedName>
    <definedName name="ｇ" hidden="1">#REF!</definedName>
    <definedName name="ga" localSheetId="0" hidden="1">#REF!</definedName>
    <definedName name="ga" hidden="1">#REF!</definedName>
    <definedName name="gamenn" localSheetId="0">#REF!</definedName>
    <definedName name="gamenn">#REF!</definedName>
    <definedName name="GBP">#N/A</definedName>
    <definedName name="ｇｃｍｓ" localSheetId="0" hidden="1">{"'2.3 NT(ｱｶｳﾝﾄ)基本方針2'!$A$1:$AN$62"}</definedName>
    <definedName name="ｇｃｍｓ" hidden="1">{"'2.3 NT(ｱｶｳﾝﾄ)基本方針2'!$A$1:$AN$62"}</definedName>
    <definedName name="ｇｇ" localSheetId="0">#REF!</definedName>
    <definedName name="ｇｇ">#REF!</definedName>
    <definedName name="GOTODAcont" localSheetId="0" hidden="1">{"'NewYork'!$AD$46","'NewYork'!$A$7:$BG$42"}</definedName>
    <definedName name="GOTODAcont" hidden="1">{"'NewYork'!$AD$46","'NewYork'!$A$7:$BG$42"}</definedName>
    <definedName name="Group" localSheetId="0">#REF!</definedName>
    <definedName name="Group">#REF!</definedName>
    <definedName name="ＧＷメッセージ一覧" localSheetId="0" hidden="1">#REF!</definedName>
    <definedName name="ＧＷメッセージ一覧" hidden="1">#REF!</definedName>
    <definedName name="h" localSheetId="0" hidden="1">#REF!</definedName>
    <definedName name="h" hidden="1">#REF!</definedName>
    <definedName name="hh" localSheetId="0" hidden="1">#REF!</definedName>
    <definedName name="hh" hidden="1">#REF!</definedName>
    <definedName name="HIBAH">#REF!</definedName>
    <definedName name="HK">#REF!</definedName>
    <definedName name="HTML_CodePage" hidden="1">932</definedName>
    <definedName name="HTML_Control" localSheetId="0" hidden="1">{"'NewYork'!$AD$46","'NewYork'!$A$7:$BG$42"}</definedName>
    <definedName name="HTML_Control" hidden="1">{"'NewYork'!$AD$46","'NewYork'!$A$7:$BG$42"}</definedName>
    <definedName name="HTML_Control_" localSheetId="0" hidden="1">{"'NewYork'!$AD$46","'NewYork'!$A$7:$BG$42"}</definedName>
    <definedName name="HTML_Control_" hidden="1">{"'NewYork'!$AD$46","'NewYork'!$A$7:$BG$42"}</definedName>
    <definedName name="HTML_Control1" localSheetId="0" hidden="1">{"'NewYork'!$AD$46","'NewYork'!$A$7:$BG$42"}</definedName>
    <definedName name="HTML_Control1" hidden="1">{"'NewYork'!$AD$46","'NewYork'!$A$7:$BG$42"}</definedName>
    <definedName name="HTML_Control1_" localSheetId="0" hidden="1">{"'NewYork'!$AD$46","'NewYork'!$A$7:$BG$42"}</definedName>
    <definedName name="HTML_Control1_" hidden="1">{"'NewYork'!$AD$46","'NewYork'!$A$7:$BG$42"}</definedName>
    <definedName name="HTML_Controlpp" localSheetId="0" hidden="1">{"'NewYork'!$AD$46","'NewYork'!$A$7:$BG$42"}</definedName>
    <definedName name="HTML_Controlpp" hidden="1">{"'NewYork'!$AD$46","'NewYork'!$A$7:$BG$42"}</definedName>
    <definedName name="HTML_Description" hidden="1">""</definedName>
    <definedName name="HTML_Email" hidden="1">""</definedName>
    <definedName name="HTML_Header" hidden="1">"NewYork"</definedName>
    <definedName name="HTML_LastUpdate" hidden="1">"99/11/09"</definedName>
    <definedName name="HTML_LineAfter" hidden="1">FALSE</definedName>
    <definedName name="HTML_LineBefore" hidden="1">FALSE</definedName>
    <definedName name="HTML_Name" hidden="1">"岩下 英明"</definedName>
    <definedName name="HTML_OBDlg2" hidden="1">TRUE</definedName>
    <definedName name="HTML_OBDlg4" hidden="1">TRUE</definedName>
    <definedName name="HTML_OS" hidden="1">0</definedName>
    <definedName name="HTML_PathFile" hidden="1">"C:\iwashita\BTM海外店システム\Homepage\NewYork.htm"</definedName>
    <definedName name="HTML_Title" hidden="1">"NY-SGPのIF"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I" localSheetId="0" hidden="1">#REF!</definedName>
    <definedName name="I" hidden="1">#REF!</definedName>
    <definedName name="i12a" localSheetId="0">#REF!</definedName>
    <definedName name="i12a">#REF!</definedName>
    <definedName name="ＩＤ" localSheetId="0">#REF!</definedName>
    <definedName name="ＩＤ">#REF!</definedName>
    <definedName name="IDR">#N/A</definedName>
    <definedName name="IDRAPR">#N/A</definedName>
    <definedName name="IDRAUG">#N/A</definedName>
    <definedName name="IDRDEC">#N/A</definedName>
    <definedName name="IDRFEB">#N/A</definedName>
    <definedName name="IDRJAN">#N/A</definedName>
    <definedName name="IDRJUL">#N/A</definedName>
    <definedName name="IDRJUN">#N/A</definedName>
    <definedName name="IDRMAR">#N/A</definedName>
    <definedName name="IDRMAY">#N/A</definedName>
    <definedName name="IDRNOV">#N/A</definedName>
    <definedName name="IDROCT">#N/A</definedName>
    <definedName name="IDRSEP">#N/A</definedName>
    <definedName name="ii" localSheetId="0" hidden="1">#REF!</definedName>
    <definedName name="ii" hidden="1">#REF!</definedName>
    <definedName name="iii" localSheetId="0" hidden="1">#REF!</definedName>
    <definedName name="iii" hidden="1">#REF!</definedName>
    <definedName name="INTEC" localSheetId="0">#REF!</definedName>
    <definedName name="INTEC">#REF!</definedName>
    <definedName name="Jap" localSheetId="0">#REF!</definedName>
    <definedName name="Jap">#REF!</definedName>
    <definedName name="JENDEV">#REF!</definedName>
    <definedName name="JENISSB">#REF!</definedName>
    <definedName name="JENPENY">#REF!</definedName>
    <definedName name="JENPIU">#REF!</definedName>
    <definedName name="JENPRO">#REF!</definedName>
    <definedName name="JENSEK">#REF!</definedName>
    <definedName name="jentag">#REF!</definedName>
    <definedName name="jentan">#REF!</definedName>
    <definedName name="JFT">#REF!</definedName>
    <definedName name="JFTA">#REF!</definedName>
    <definedName name="JFTE">#REF!</definedName>
    <definedName name="JFTP">#REF!</definedName>
    <definedName name="ｊｊｊ" localSheetId="0" hidden="1">#REF!</definedName>
    <definedName name="ｊｊｊ" hidden="1">#REF!</definedName>
    <definedName name="JKGYUHVGHJ">#N/A</definedName>
    <definedName name="JMBE">#REF!</definedName>
    <definedName name="JP">#REF!</definedName>
    <definedName name="JPA">#REF!</definedName>
    <definedName name="JTPVA">#REF!</definedName>
    <definedName name="JUL">#N/A</definedName>
    <definedName name="JUN">#N/A</definedName>
    <definedName name="JW">#REF!</definedName>
    <definedName name="kai_hatan1">#N/A</definedName>
    <definedName name="kai_hatan1_pj">#N/A</definedName>
    <definedName name="kai_hatan2">#N/A</definedName>
    <definedName name="kai_hatan2_pj">#N/A</definedName>
    <definedName name="kai_hatan3">#N/A</definedName>
    <definedName name="kai_hatan3_pj">#N/A</definedName>
    <definedName name="kai_yosin1">#N/A</definedName>
    <definedName name="kai_yosin1_pj">#N/A</definedName>
    <definedName name="kai_yosin2">#N/A</definedName>
    <definedName name="kai_yosin2_pj">#N/A</definedName>
    <definedName name="kai_yosin3">#N/A</definedName>
    <definedName name="kai_yosin3_pj">#N/A</definedName>
    <definedName name="kannrennhyou" localSheetId="0" hidden="1">#REF!</definedName>
    <definedName name="kannrennhyou" hidden="1">#REF!</definedName>
    <definedName name="kentoukoumoku" localSheetId="0" hidden="1">#REF!</definedName>
    <definedName name="kentoukoumoku" hidden="1">#REF!</definedName>
    <definedName name="KINOU" localSheetId="0">#REF!</definedName>
    <definedName name="KINOU">#REF!</definedName>
    <definedName name="ｋｋｋ" localSheetId="0">#REF!</definedName>
    <definedName name="ｋｋｋ">#REF!</definedName>
    <definedName name="kode">#N/A</definedName>
    <definedName name="koku_hatan1">#N/A</definedName>
    <definedName name="koku_hatan1_pj">#N/A</definedName>
    <definedName name="koku_hatan2">#N/A</definedName>
    <definedName name="koku_hatan2_pj">#N/A</definedName>
    <definedName name="koku_hatan3">#N/A</definedName>
    <definedName name="koku_hatan3_pj">#N/A</definedName>
    <definedName name="koku_yosin1">#N/A</definedName>
    <definedName name="koku_yosin1_pj">#N/A</definedName>
    <definedName name="koku_yosin2">#N/A</definedName>
    <definedName name="koku_yosin2_pj">#N/A</definedName>
    <definedName name="koku_yosin3">#N/A</definedName>
    <definedName name="koku_yosin3_pj">#N/A</definedName>
    <definedName name="kol1sep06">#N/A</definedName>
    <definedName name="kol2sep06">#N/A</definedName>
    <definedName name="kol3sep06">#N/A</definedName>
    <definedName name="kol4sep06">#N/A</definedName>
    <definedName name="kol5sep06">#N/A</definedName>
    <definedName name="KOTA">#REF!</definedName>
    <definedName name="KURS">#REF!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ｌ９お" localSheetId="0">#REF!</definedName>
    <definedName name="ｌ９お">#REF!</definedName>
    <definedName name="LBBU" localSheetId="0">#REF!</definedName>
    <definedName name="LBBU">#REF!</definedName>
    <definedName name="lijilk">#REF!</definedName>
    <definedName name="ｌｌ" localSheetId="0">#REF!</definedName>
    <definedName name="ｌｌ">#REF!</definedName>
    <definedName name="lll" localSheetId="0" hidden="1">{0,0}</definedName>
    <definedName name="lll" hidden="1">{0,0}</definedName>
    <definedName name="m" localSheetId="0" hidden="1">#REF!</definedName>
    <definedName name="m" hidden="1">#REF!</definedName>
    <definedName name="MAD" localSheetId="0" hidden="1">#REF!</definedName>
    <definedName name="MAD" hidden="1">#REF!</definedName>
    <definedName name="maeoki" localSheetId="0" hidden="1">#REF!</definedName>
    <definedName name="maeoki" hidden="1">#REF!</definedName>
    <definedName name="Maping" localSheetId="0">#REF!</definedName>
    <definedName name="Maping">#REF!</definedName>
    <definedName name="MAR">#N/A</definedName>
    <definedName name="MAY">#N/A</definedName>
    <definedName name="ＭＤＩＤ" localSheetId="0">#REF!</definedName>
    <definedName name="ＭＤＩＤ">#REF!</definedName>
    <definedName name="MD名" localSheetId="0">#REF!</definedName>
    <definedName name="MD名">#REF!</definedName>
    <definedName name="mm" localSheetId="0" hidden="1">#REF!</definedName>
    <definedName name="mm" hidden="1">#REF!</definedName>
    <definedName name="mmm" localSheetId="0" hidden="1">#REF!</definedName>
    <definedName name="mmm" hidden="1">#REF!</definedName>
    <definedName name="month" localSheetId="0">#REF!</definedName>
    <definedName name="month">#REF!</definedName>
    <definedName name="neraca">#REF!</definedName>
    <definedName name="NERACA_1" localSheetId="0">#REF!</definedName>
    <definedName name="NERACA_1">#REF!</definedName>
    <definedName name="new">#REF!</definedName>
    <definedName name="NOV">#N/A</definedName>
    <definedName name="NSS" localSheetId="0">#REF!</definedName>
    <definedName name="NSS">#REF!</definedName>
    <definedName name="OCT">#N/A</definedName>
    <definedName name="ODC制約" localSheetId="0">#REF!</definedName>
    <definedName name="ODC制約">#REF!</definedName>
    <definedName name="Offi" localSheetId="0">#REF!</definedName>
    <definedName name="Offi">#REF!</definedName>
    <definedName name="ok_">#REF!</definedName>
    <definedName name="op" localSheetId="0" hidden="1">#REF!</definedName>
    <definedName name="op" hidden="1">#REF!</definedName>
    <definedName name="OpRiskApproach" localSheetId="0">#REF!</definedName>
    <definedName name="OpRiskApproach">#REF!</definedName>
    <definedName name="optionrange" localSheetId="0">#REF!</definedName>
    <definedName name="optionrange">#REF!</definedName>
    <definedName name="ｐ" localSheetId="0">#REF!</definedName>
    <definedName name="ｐ">#REF!</definedName>
    <definedName name="pasiva">#N/A</definedName>
    <definedName name="Pdata" localSheetId="0">#REF!</definedName>
    <definedName name="Pdata">#REF!</definedName>
    <definedName name="PERCENT">#REF!</definedName>
    <definedName name="PLAPR">#N/A</definedName>
    <definedName name="PLAUG">#N/A</definedName>
    <definedName name="PLFEB">#N/A</definedName>
    <definedName name="PLHOENG1">#N/A</definedName>
    <definedName name="PLJUL">#N/A</definedName>
    <definedName name="PLJUN">#N/A</definedName>
    <definedName name="PLM">#N/A</definedName>
    <definedName name="PLMAR">#N/A</definedName>
    <definedName name="PLMAY">#N/A</definedName>
    <definedName name="PLNOV">#N/A</definedName>
    <definedName name="PLOCT">#N/A</definedName>
    <definedName name="PLSEP">#N/A</definedName>
    <definedName name="PLUSD">#N/A</definedName>
    <definedName name="pp" localSheetId="0" hidden="1">#REF!</definedName>
    <definedName name="pp" hidden="1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" localSheetId="0">#REF!</definedName>
    <definedName name="Print_title">#REF!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OPINSI">#REF!</definedName>
    <definedName name="Ｑ" localSheetId="0" hidden="1">#REF!</definedName>
    <definedName name="Ｑ" hidden="1">#REF!</definedName>
    <definedName name="q_tmp_172411" localSheetId="0">#REF!</definedName>
    <definedName name="q_tmp_172411">#REF!</definedName>
    <definedName name="Q0306_1" localSheetId="0">#REF!</definedName>
    <definedName name="Q0306_1">#REF!</definedName>
    <definedName name="Q0306_2" localSheetId="0">#REF!</definedName>
    <definedName name="Q0306_2">#REF!</definedName>
    <definedName name="Q0306_3" localSheetId="0">#REF!</definedName>
    <definedName name="Q0306_3">#REF!</definedName>
    <definedName name="Q0306_4" localSheetId="0">#REF!</definedName>
    <definedName name="Q0306_4">#REF!</definedName>
    <definedName name="qq" localSheetId="0" hidden="1">#REF!</definedName>
    <definedName name="qq" hidden="1">#REF!</definedName>
    <definedName name="qqq" localSheetId="0" hidden="1">#REF!</definedName>
    <definedName name="qqq" hidden="1">#REF!</definedName>
    <definedName name="ｑｑｑｑ" localSheetId="0">#REF!</definedName>
    <definedName name="ｑｑｑｑ">#REF!</definedName>
    <definedName name="qqqqq" localSheetId="0" hidden="1">#REF!</definedName>
    <definedName name="qqqqq" hidden="1">#REF!</definedName>
    <definedName name="RAIN" localSheetId="0" hidden="1">#REF!</definedName>
    <definedName name="RAIN" hidden="1">#REF!</definedName>
    <definedName name="RAIN1" localSheetId="0" hidden="1">#REF!</definedName>
    <definedName name="RAIN1" hidden="1">#REF!</definedName>
    <definedName name="RAIN3" localSheetId="0" hidden="1">#REF!</definedName>
    <definedName name="RAIN3" hidden="1">#REF!</definedName>
    <definedName name="RAIN4" localSheetId="0" hidden="1">#REF!</definedName>
    <definedName name="RAIN4" hidden="1">#REF!</definedName>
    <definedName name="RAIN6" localSheetId="0" hidden="1">#REF!</definedName>
    <definedName name="RAIN6" hidden="1">#REF!</definedName>
    <definedName name="RAIN7" localSheetId="0" hidden="1">#REF!</definedName>
    <definedName name="RAIN7" hidden="1">#REF!</definedName>
    <definedName name="Rate">#N/A</definedName>
    <definedName name="Rates">#N/A</definedName>
    <definedName name="Rates2">#N/A</definedName>
    <definedName name="ReportOffice" localSheetId="0">#REF!</definedName>
    <definedName name="ReportOffice">#REF!</definedName>
    <definedName name="ｒｒ" localSheetId="0" hidden="1">{"'NewYork'!$AD$46","'NewYork'!$A$7:$BG$42"}</definedName>
    <definedName name="ｒｒ" hidden="1">{"'NewYork'!$AD$46","'NewYork'!$A$7:$BG$42"}</definedName>
    <definedName name="ｒｒｒ" localSheetId="0" hidden="1">#REF!</definedName>
    <definedName name="ｒｒｒ" hidden="1">#REF!</definedName>
    <definedName name="RWA_QA" localSheetId="0">#REF!</definedName>
    <definedName name="RWA_QA">#REF!</definedName>
    <definedName name="s">#REF!</definedName>
    <definedName name="S_Adjust_Data">#N/A</definedName>
    <definedName name="S_AJE_Tot_Data">#N/A</definedName>
    <definedName name="S_CY_Beg_Data">#N/A</definedName>
    <definedName name="S_CY_End_Data">#N/A</definedName>
    <definedName name="S_PY_End_Data">#N/A</definedName>
    <definedName name="S_RJE_Tot_Data">#N/A</definedName>
    <definedName name="SA" hidden="1">#N/A</definedName>
    <definedName name="SBSB">#REF!</definedName>
    <definedName name="sdsdf" localSheetId="0">#REF!</definedName>
    <definedName name="sdsdf">#REF!</definedName>
    <definedName name="sdsdsd" localSheetId="0">#REF!</definedName>
    <definedName name="sdsdsd">#REF!</definedName>
    <definedName name="sec">#N/A</definedName>
    <definedName name="SEP">#N/A</definedName>
    <definedName name="SHY__Financial_Ins___Overseas_Netw_Mgt" localSheetId="0">#REF!,#REF!</definedName>
    <definedName name="SHY__Financial_Ins___Overseas_Netw_Mgt">#REF!,#REF!</definedName>
    <definedName name="SI">#REF!</definedName>
    <definedName name="SJSB">#REF!</definedName>
    <definedName name="SJTAS">#REF!</definedName>
    <definedName name="SJTASET">#REF!</definedName>
    <definedName name="SJTDER">#REF!</definedName>
    <definedName name="SJTE">#REF!</definedName>
    <definedName name="SJTEQ">#REF!</definedName>
    <definedName name="SJTL">#REF!</definedName>
    <definedName name="SJTOCA">#REF!</definedName>
    <definedName name="SJTP">#REF!</definedName>
    <definedName name="SJTSB">#REF!</definedName>
    <definedName name="SJTSEK">#REF!</definedName>
    <definedName name="SJTTB">#REF!</definedName>
    <definedName name="SK">#REF!</definedName>
    <definedName name="ss" localSheetId="0" hidden="1">#REF!</definedName>
    <definedName name="ss" hidden="1">#REF!</definedName>
    <definedName name="sss" localSheetId="0" hidden="1">#REF!</definedName>
    <definedName name="sss" hidden="1">#REF!</definedName>
    <definedName name="sssss" localSheetId="0" hidden="1">#REF!</definedName>
    <definedName name="sssss" hidden="1">#REF!</definedName>
    <definedName name="suda" localSheetId="0" hidden="1">#REF!</definedName>
    <definedName name="suda" hidden="1">#REF!</definedName>
    <definedName name="sw" localSheetId="0" hidden="1">{"'NewYork'!$AD$46","'NewYork'!$A$7:$BG$42"}</definedName>
    <definedName name="sw" hidden="1">{"'NewYork'!$AD$46","'NewYork'!$A$7:$BG$42"}</definedName>
    <definedName name="syuuhen" localSheetId="0" hidden="1">#REF!</definedName>
    <definedName name="syuuhen" hidden="1">#REF!</definedName>
    <definedName name="t" localSheetId="0" hidden="1">#REF!</definedName>
    <definedName name="t" hidden="1">#REF!</definedName>
    <definedName name="TAB_COUNT" localSheetId="0">#REF!</definedName>
    <definedName name="TAB_COUNT">#REF!</definedName>
    <definedName name="TAB_COUNT2" localSheetId="0">#REF!</definedName>
    <definedName name="TAB_COUNT2">#REF!</definedName>
    <definedName name="TBL_ID" localSheetId="0">#REF!</definedName>
    <definedName name="TBL_ID">#REF!</definedName>
    <definedName name="TBL_名称" localSheetId="0">#REF!</definedName>
    <definedName name="TBL_名称">#REF!</definedName>
    <definedName name="tblcode" localSheetId="0">#REF!</definedName>
    <definedName name="tblcode">#REF!</definedName>
    <definedName name="tblcode1" localSheetId="0">#REF!</definedName>
    <definedName name="tblcode1">#REF!</definedName>
    <definedName name="TEMP" localSheetId="0" hidden="1">#REF!</definedName>
    <definedName name="TEMP" hidden="1">#REF!</definedName>
    <definedName name="tes">#REF!</definedName>
    <definedName name="test" localSheetId="0" hidden="1">#REF!</definedName>
    <definedName name="test">#REF!</definedName>
    <definedName name="test1">#N/A</definedName>
    <definedName name="TextRefCopyRangeCount" hidden="1">28</definedName>
    <definedName name="TGL">#REF!</definedName>
    <definedName name="THN">#REF!</definedName>
    <definedName name="THNLK">#REF!</definedName>
    <definedName name="tmp" hidden="1">#N/A</definedName>
    <definedName name="transactiontype" localSheetId="0">#REF!</definedName>
    <definedName name="transactiontype">#REF!</definedName>
    <definedName name="TT" localSheetId="0" hidden="1">#REF!</definedName>
    <definedName name="TT" hidden="1">#REF!</definedName>
    <definedName name="ｔｔｔ" localSheetId="0" hidden="1">#REF!</definedName>
    <definedName name="ｔｔｔ" hidden="1">#REF!</definedName>
    <definedName name="tttt" localSheetId="0" hidden="1">#REF!</definedName>
    <definedName name="tttt" hidden="1">#REF!</definedName>
    <definedName name="ttttt" localSheetId="0" hidden="1">#REF!</definedName>
    <definedName name="ttttt" hidden="1">#REF!</definedName>
    <definedName name="TYTY" localSheetId="0" hidden="1">{"'NewYork'!$AD$46","'NewYork'!$A$7:$BG$42"}</definedName>
    <definedName name="TYTY" hidden="1">{"'NewYork'!$AD$46","'NewYork'!$A$7:$BG$42"}</definedName>
    <definedName name="TYTYTYTYT" localSheetId="0" hidden="1">{"'NewYork'!$AD$46","'NewYork'!$A$7:$BG$42"}</definedName>
    <definedName name="TYTYTYTYT" hidden="1">{"'NewYork'!$AD$46","'NewYork'!$A$7:$BG$42"}</definedName>
    <definedName name="v" localSheetId="0" hidden="1">#REF!</definedName>
    <definedName name="v" hidden="1">#REF!</definedName>
    <definedName name="VP">#REF!</definedName>
    <definedName name="vv" localSheetId="0" hidden="1">#REF!</definedName>
    <definedName name="vv" hidden="1">#REF!</definedName>
    <definedName name="ｖｖｖ" localSheetId="0" hidden="1">#REF!</definedName>
    <definedName name="ｖｖｖ" hidden="1">#REF!</definedName>
    <definedName name="Ｗ" localSheetId="0" hidden="1">#REF!</definedName>
    <definedName name="Ｗ" hidden="1">#REF!</definedName>
    <definedName name="WEEK">#REF!</definedName>
    <definedName name="ｗｗ" localSheetId="0" hidden="1">#REF!</definedName>
    <definedName name="ｗｗ" hidden="1">#REF!</definedName>
    <definedName name="ｗｗｗ" localSheetId="0" hidden="1">#REF!</definedName>
    <definedName name="ｗｗｗ" hidden="1">#REF!</definedName>
    <definedName name="ｗｗｗｗ" localSheetId="0" hidden="1">#REF!</definedName>
    <definedName name="ｗｗｗｗ" hidden="1">#REF!</definedName>
    <definedName name="ｗｗｗｗｗｗ" localSheetId="0" hidden="1">#REF!</definedName>
    <definedName name="ｗｗｗｗｗｗ" hidden="1">#REF!</definedName>
    <definedName name="ｗｗｗｗｗｗｗ" localSheetId="0" hidden="1">#REF!</definedName>
    <definedName name="ｗｗｗｗｗｗｗ" hidden="1">#REF!</definedName>
    <definedName name="ｗｗｗｗｗｗｗｗｗｗｗｗｗ" localSheetId="0" hidden="1">#REF!</definedName>
    <definedName name="ｗｗｗｗｗｗｗｗｗｗｗｗｗ" hidden="1">#REF!</definedName>
    <definedName name="x" localSheetId="0">#REF!</definedName>
    <definedName name="x">#REF!</definedName>
    <definedName name="ＸＸ" localSheetId="0" hidden="1">#REF!</definedName>
    <definedName name="ＸＸ" hidden="1">#REF!</definedName>
    <definedName name="XXX" localSheetId="0" hidden="1">#REF!</definedName>
    <definedName name="XXX" hidden="1">#REF!</definedName>
    <definedName name="XXXX" localSheetId="0">#REF!</definedName>
    <definedName name="XXXX">#REF!</definedName>
    <definedName name="XXXXXXXXXX" localSheetId="0" hidden="1">#REF!</definedName>
    <definedName name="XXXXXXXXXX" hidden="1">#REF!</definedName>
    <definedName name="ｘｘｘｘｘｘｘｘｘｘｘｘｘｘ" localSheetId="0" hidden="1">#REF!</definedName>
    <definedName name="ｘｘｘｘｘｘｘｘｘｘｘｘｘｘ" hidden="1">#REF!</definedName>
    <definedName name="ｙ" localSheetId="0" hidden="1">#REF!</definedName>
    <definedName name="ｙ" hidden="1">#REF!</definedName>
    <definedName name="yama" localSheetId="0" hidden="1">#REF!</definedName>
    <definedName name="yama" hidden="1">#REF!</definedName>
    <definedName name="yama1" localSheetId="0" hidden="1">#REF!</definedName>
    <definedName name="yama1" hidden="1">#REF!</definedName>
    <definedName name="yama11" localSheetId="0" hidden="1">#REF!</definedName>
    <definedName name="yama11" hidden="1">#REF!</definedName>
    <definedName name="yama111" localSheetId="0" hidden="1">#REF!</definedName>
    <definedName name="yama111" hidden="1">#REF!</definedName>
    <definedName name="YesNo" localSheetId="0">#REF!</definedName>
    <definedName name="YesNo">#REF!</definedName>
    <definedName name="Z" localSheetId="0">#REF!</definedName>
    <definedName name="Z">#REF!</definedName>
    <definedName name="Z_00954B30_144B_11D5_AD88_00D0B77AEF43_.wvu.FilterData" localSheetId="0" hidden="1">#REF!</definedName>
    <definedName name="Z_00954B30_144B_11D5_AD88_00D0B77AEF43_.wvu.FilterData" hidden="1">#REF!</definedName>
    <definedName name="Z_00954B30_144B_11D5_AD88_00D0B77AEF43_.wvu.PrintTitles" localSheetId="0" hidden="1">#REF!,#REF!</definedName>
    <definedName name="Z_00954B30_144B_11D5_AD88_00D0B77AEF43_.wvu.PrintTitles" hidden="1">#REF!,#REF!</definedName>
    <definedName name="Z_01C2D571_C973_11D4_9CF3_00D0B7862332_.wvu.FilterData" localSheetId="0" hidden="1">#REF!</definedName>
    <definedName name="Z_01C2D571_C973_11D4_9CF3_00D0B7862332_.wvu.FilterData" hidden="1">#REF!</definedName>
    <definedName name="Z_70A9D736_E544_4001_86B2_4A2E4D41B817_.wvu.PrintArea" localSheetId="0" hidden="1">#REF!</definedName>
    <definedName name="Z_70A9D736_E544_4001_86B2_4A2E4D41B817_.wvu.PrintArea" hidden="1">#REF!</definedName>
    <definedName name="Z_918386A1_1675_11D5_8146_000255EC0817_.wvu.FilterData" localSheetId="0" hidden="1">#REF!</definedName>
    <definedName name="Z_918386A1_1675_11D5_8146_000255EC0817_.wvu.FilterData" hidden="1">#REF!</definedName>
    <definedName name="Z_A9F0B924_0364_4A0F_AC84_1394FFA54A9C_.wvu.PrintArea" localSheetId="0" hidden="1">#REF!</definedName>
    <definedName name="Z_A9F0B924_0364_4A0F_AC84_1394FFA54A9C_.wvu.PrintArea" hidden="1">#REF!</definedName>
    <definedName name="Z_B4CE63A3_C9AF_11D4_B14B_00D0B787A478_.wvu.FilterData" localSheetId="0" hidden="1">#REF!</definedName>
    <definedName name="Z_B4CE63A3_C9AF_11D4_B14B_00D0B787A478_.wvu.FilterData" hidden="1">#REF!</definedName>
    <definedName name="Z_B4CE63A3_C9AF_11D4_B14B_00D0B787A478_.wvu.PrintTitles" localSheetId="0" hidden="1">#REF!,#REF!</definedName>
    <definedName name="Z_B4CE63A3_C9AF_11D4_B14B_00D0B787A478_.wvu.PrintTitles" hidden="1">#REF!,#REF!</definedName>
    <definedName name="Z_B567E120_167C_11D5_8140_000255EC06F8_.wvu.FilterData" localSheetId="0" hidden="1">#REF!</definedName>
    <definedName name="Z_B567E120_167C_11D5_8140_000255EC06F8_.wvu.FilterData" hidden="1">#REF!</definedName>
    <definedName name="Z_BBC0CCE7_178D_11D5_8651_0004AC23646B_.wvu.FilterData" localSheetId="0" hidden="1">#REF!</definedName>
    <definedName name="Z_BBC0CCE7_178D_11D5_8651_0004AC23646B_.wvu.FilterData" hidden="1">#REF!</definedName>
    <definedName name="Z_BBC0CCF0_178D_11D5_8651_0004AC23646B_.wvu.FilterData" localSheetId="0" hidden="1">#REF!</definedName>
    <definedName name="Z_BBC0CCF0_178D_11D5_8651_0004AC23646B_.wvu.FilterData" hidden="1">#REF!</definedName>
    <definedName name="Z_BBC0CCF5_178D_11D5_8651_0004AC23646B_.wvu.FilterData" localSheetId="0" hidden="1">#REF!</definedName>
    <definedName name="Z_BBC0CCF5_178D_11D5_8651_0004AC23646B_.wvu.FilterData" hidden="1">#REF!</definedName>
    <definedName name="Z_BBC0CCFA_178D_11D5_8651_0004AC23646B_.wvu.FilterData" localSheetId="0" hidden="1">#REF!</definedName>
    <definedName name="Z_BBC0CCFA_178D_11D5_8651_0004AC23646B_.wvu.FilterData" hidden="1">#REF!</definedName>
    <definedName name="Z_C8681527_1740_11D5_8147_000255EC0817_.wvu.FilterData" localSheetId="0" hidden="1">#REF!</definedName>
    <definedName name="Z_C8681527_1740_11D5_8147_000255EC0817_.wvu.FilterData" hidden="1">#REF!</definedName>
    <definedName name="Z_D790FBB9_CBD1_11D4_80F4_000255EC0817_.wvu.FilterData" localSheetId="0" hidden="1">#REF!</definedName>
    <definedName name="Z_D790FBB9_CBD1_11D4_80F4_000255EC0817_.wvu.FilterData" hidden="1">#REF!</definedName>
    <definedName name="Z_D790FBB9_CBD1_11D4_80F4_000255EC0817_.wvu.PrintTitles" localSheetId="0" hidden="1">#REF!,#REF!</definedName>
    <definedName name="Z_D790FBB9_CBD1_11D4_80F4_000255EC0817_.wvu.PrintTitles" hidden="1">#REF!,#REF!</definedName>
    <definedName name="ｚｚ" localSheetId="0" hidden="1">#REF!</definedName>
    <definedName name="ｚｚ" hidden="1">#REF!</definedName>
    <definedName name="zzz" localSheetId="0">#REF!</definedName>
    <definedName name="zzz">#REF!</definedName>
    <definedName name="zzzz" localSheetId="0" hidden="1">{"'NewYork'!$AD$46","'NewYork'!$A$7:$BG$42"}</definedName>
    <definedName name="zzzz" hidden="1">{"'NewYork'!$AD$46","'NewYork'!$A$7:$BG$42"}</definedName>
    <definedName name="ZZZZZ" localSheetId="0" hidden="1">#REF!</definedName>
    <definedName name="ZZZZZ" hidden="1">#REF!</definedName>
    <definedName name="ｱ" localSheetId="0" hidden="1">#REF!</definedName>
    <definedName name="ｱ" hidden="1">#REF!</definedName>
    <definedName name="あ" localSheetId="0">#REF!</definedName>
    <definedName name="あ">#REF!</definedName>
    <definedName name="あ１" localSheetId="0">#REF!</definedName>
    <definedName name="あ１">#REF!</definedName>
    <definedName name="ああ" localSheetId="0" hidden="1">#REF!</definedName>
    <definedName name="ああ" hidden="1">#REF!</definedName>
    <definedName name="あああ" localSheetId="0" hidden="1">#REF!</definedName>
    <definedName name="あああ" hidden="1">#REF!</definedName>
    <definedName name="ああああ" localSheetId="0" hidden="1">#REF!</definedName>
    <definedName name="ああああ" hidden="1">#REF!</definedName>
    <definedName name="あああああ" localSheetId="0" hidden="1">#REF!</definedName>
    <definedName name="あああああ" hidden="1">#REF!</definedName>
    <definedName name="あああああああ" localSheetId="0" hidden="1">#REF!</definedName>
    <definedName name="あああああああ" hidden="1">#REF!</definedName>
    <definedName name="あああああああああ" localSheetId="0" hidden="1">#REF!</definedName>
    <definedName name="あああああああああ" hidden="1">#REF!</definedName>
    <definedName name="ああああああああああ" localSheetId="0" hidden="1">#REF!</definedName>
    <definedName name="ああああああああああ" hidden="1">#REF!</definedName>
    <definedName name="あああああああああああああ" localSheetId="0" hidden="1">#REF!</definedName>
    <definedName name="あああああああああああああ" hidden="1">#REF!</definedName>
    <definedName name="ああああああああああああああ" localSheetId="0">#REF!</definedName>
    <definedName name="ああああああああああああああ">#REF!</definedName>
    <definedName name="あああああああああああああああ" localSheetId="0" hidden="1">#REF!</definedName>
    <definedName name="あああああああああああああああ" hidden="1">#REF!</definedName>
    <definedName name="ああざ" localSheetId="0">#REF!</definedName>
    <definedName name="ああざ">#REF!</definedName>
    <definedName name="アクセス条件列指定" localSheetId="0">#REF!</definedName>
    <definedName name="アクセス条件列指定">#REF!</definedName>
    <definedName name="い" localSheetId="0">#REF!</definedName>
    <definedName name="い">#REF!</definedName>
    <definedName name="いい" localSheetId="0" hidden="1">#REF!</definedName>
    <definedName name="いい" hidden="1">#REF!</definedName>
    <definedName name="いいい" localSheetId="0">#REF!</definedName>
    <definedName name="いいい">#REF!</definedName>
    <definedName name="う" localSheetId="0" hidden="1">#REF!</definedName>
    <definedName name="う" hidden="1">#REF!</definedName>
    <definedName name="ううう" localSheetId="0" hidden="1">#REF!</definedName>
    <definedName name="ううう" hidden="1">#REF!</definedName>
    <definedName name="え" localSheetId="0" hidden="1">#REF!</definedName>
    <definedName name="え" hidden="1">#REF!</definedName>
    <definedName name="えええ" localSheetId="0" hidden="1">#REF!</definedName>
    <definedName name="えええ" hidden="1">#REF!</definedName>
    <definedName name="えええええ" localSheetId="0" hidden="1">#REF!</definedName>
    <definedName name="えええええ" hidden="1">#REF!</definedName>
    <definedName name="お" localSheetId="0" hidden="1">#REF!</definedName>
    <definedName name="お" hidden="1">#REF!</definedName>
    <definedName name="おおお" localSheetId="0" hidden="1">#REF!</definedName>
    <definedName name="おおお" hidden="1">#REF!</definedName>
    <definedName name="おおおおお" localSheetId="0" hidden="1">#REF!</definedName>
    <definedName name="おおおおお" hidden="1">#REF!</definedName>
    <definedName name="オプション" localSheetId="0">#REF!</definedName>
    <definedName name="オプション">#REF!</definedName>
    <definedName name="オリジナル・DUODay2プロジェクト設計版" localSheetId="0" hidden="1">{"'2.3 NT(ｱｶｳﾝﾄ)基本方針2'!$A$1:$AN$62"}</definedName>
    <definedName name="オリジナル・DUODay2プロジェクト設計版" hidden="1">{"'2.3 NT(ｱｶｳﾝﾄ)基本方針2'!$A$1:$AN$62"}</definedName>
    <definedName name="か" localSheetId="0" hidden="1">#REF!</definedName>
    <definedName name="か" hidden="1">#REF!</definedName>
    <definedName name="がたい" localSheetId="0" hidden="1">#REF!</definedName>
    <definedName name="がたい" hidden="1">#REF!</definedName>
    <definedName name="かんじ" localSheetId="0" hidden="1">#REF!</definedName>
    <definedName name="かんじ" hidden="1">#REF!</definedName>
    <definedName name="き" localSheetId="0" hidden="1">#REF!</definedName>
    <definedName name="き" hidden="1">#REF!</definedName>
    <definedName name="く" localSheetId="0">#REF!</definedName>
    <definedName name="く">#REF!</definedName>
    <definedName name="コミットパートアウトキャッシュフロー" localSheetId="0">#REF!</definedName>
    <definedName name="コミットパートアウトキャッシュフロー">#REF!</definedName>
    <definedName name="コミットパートアウト取引" localSheetId="0">#REF!</definedName>
    <definedName name="コミットパートアウト取引">#REF!</definedName>
    <definedName name="コミットパートアウト実行残高フロー" localSheetId="0">#REF!</definedName>
    <definedName name="コミットパートアウト実行残高フロー">#REF!</definedName>
    <definedName name="コミットパートアウト手数料フロー" localSheetId="0">#REF!</definedName>
    <definedName name="コミットパートアウト手数料フロー">#REF!</definedName>
    <definedName name="コミットパートアウト枠フロー" localSheetId="0">#REF!</definedName>
    <definedName name="コミットパートアウト枠フロー">#REF!</definedName>
    <definedName name="コミットパートアウト決済" localSheetId="0">#REF!</definedName>
    <definedName name="コミットパートアウト決済">#REF!</definedName>
    <definedName name="コミットメントキャッシュフロー" localSheetId="0">#REF!</definedName>
    <definedName name="コミットメントキャッシュフロー">#REF!</definedName>
    <definedName name="コミットメント取引" localSheetId="0">#REF!</definedName>
    <definedName name="コミットメント取引">#REF!</definedName>
    <definedName name="コミットメント実行残高フロー" localSheetId="0">#REF!</definedName>
    <definedName name="コミットメント実行残高フロー">#REF!</definedName>
    <definedName name="コミットメント手数料フロー" localSheetId="0">#REF!</definedName>
    <definedName name="コミットメント手数料フロー">#REF!</definedName>
    <definedName name="コミットメント枠フロー" localSheetId="0">#REF!</definedName>
    <definedName name="コミットメント枠フロー">#REF!</definedName>
    <definedName name="コミットメント決済" localSheetId="0">#REF!</definedName>
    <definedName name="コミットメント決済">#REF!</definedName>
    <definedName name="コメント" localSheetId="0">#REF!</definedName>
    <definedName name="コメント">#REF!</definedName>
    <definedName name="さしすせそ" localSheetId="0" hidden="1">#REF!</definedName>
    <definedName name="さしすせそ" hidden="1">#REF!</definedName>
    <definedName name="サブ間IF" localSheetId="0" hidden="1">#REF!</definedName>
    <definedName name="サブ間IF" hidden="1">#REF!</definedName>
    <definedName name="さんpる" localSheetId="0" hidden="1">#REF!</definedName>
    <definedName name="さんpる" hidden="1">#REF!</definedName>
    <definedName name="サンプル" localSheetId="0" hidden="1">#REF!</definedName>
    <definedName name="サンプル" hidden="1">#REF!</definedName>
    <definedName name="タスクドキュメント" localSheetId="0" hidden="1">#REF!</definedName>
    <definedName name="タスクドキュメント" hidden="1">#REF!</definedName>
    <definedName name="タスクドキュメント１" localSheetId="0" hidden="1">#REF!</definedName>
    <definedName name="タスクドキュメント１" hidden="1">#REF!</definedName>
    <definedName name="タスクドキュメント２" localSheetId="0" hidden="1">#REF!</definedName>
    <definedName name="タスクドキュメント２" hidden="1">#REF!</definedName>
    <definedName name="たちつてと" localSheetId="0" hidden="1">#REF!</definedName>
    <definedName name="たちつてと" hidden="1">#REF!</definedName>
    <definedName name="チェック結果" localSheetId="0" hidden="1">#REF!</definedName>
    <definedName name="チェック結果" hidden="1">#REF!</definedName>
    <definedName name="テーブル" localSheetId="0" hidden="1">#REF!</definedName>
    <definedName name="テーブル" hidden="1">#REF!</definedName>
    <definedName name="テーブル名" localSheetId="0">#REF!</definedName>
    <definedName name="テーブル名">#REF!</definedName>
    <definedName name="テラー" localSheetId="0" hidden="1">#REF!</definedName>
    <definedName name="テラー" hidden="1">#REF!</definedName>
    <definedName name="ﾊﾞｯﾁDFD" localSheetId="0" hidden="1">#REF!</definedName>
    <definedName name="ﾊﾞｯﾁDFD" hidden="1">#REF!</definedName>
    <definedName name="ﾊﾞｯﾁ帳票" localSheetId="0" hidden="1">#REF!</definedName>
    <definedName name="ﾊﾞｯﾁ帳票" hidden="1">#REF!</definedName>
    <definedName name="ﾊﾞｯﾁ帳票一覧" localSheetId="0" hidden="1">#REF!</definedName>
    <definedName name="ﾊﾞｯﾁ帳票一覧" hidden="1">#REF!</definedName>
    <definedName name="パラメータ" localSheetId="0" hidden="1">#REF!</definedName>
    <definedName name="パラメータ" hidden="1">#REF!</definedName>
    <definedName name="パラメータ１" localSheetId="0" hidden="1">#REF!</definedName>
    <definedName name="パラメータ１" hidden="1">#REF!</definedName>
    <definedName name="ﾌｧｲﾙID" localSheetId="0">#REF!</definedName>
    <definedName name="ﾌｧｲﾙID">#REF!</definedName>
    <definedName name="ﾌｧｲﾙID５" localSheetId="0">#REF!</definedName>
    <definedName name="ﾌｧｲﾙID５">#REF!</definedName>
    <definedName name="ファイルIDC" localSheetId="0">#REF!</definedName>
    <definedName name="ファイルIDC">#REF!</definedName>
    <definedName name="ﾌｧｲﾙﾁｪｯｸ２" localSheetId="0">#REF!</definedName>
    <definedName name="ﾌｧｲﾙﾁｪｯｸ２">#REF!</definedName>
    <definedName name="ﾌｧｲﾙ名" localSheetId="0">#REF!</definedName>
    <definedName name="ﾌｧｲﾙ名">#REF!</definedName>
    <definedName name="ﾌｧｲﾙ名１" localSheetId="0">#REF!</definedName>
    <definedName name="ﾌｧｲﾙ名１">#REF!</definedName>
    <definedName name="ﾌｧｲﾙ名2" localSheetId="0">#REF!</definedName>
    <definedName name="ﾌｧｲﾙ名2">#REF!</definedName>
    <definedName name="ﾌｧｲﾙ名３" localSheetId="0">#REF!</definedName>
    <definedName name="ﾌｧｲﾙ名３">#REF!</definedName>
    <definedName name="ファイル名５" localSheetId="0">#REF!</definedName>
    <definedName name="ファイル名５">#REF!</definedName>
    <definedName name="ﾌｧｲﾙ名C" localSheetId="0">#REF!</definedName>
    <definedName name="ﾌｧｲﾙ名C">#REF!</definedName>
    <definedName name="ﾌﾟﾛｸﾞﾗﾑID" localSheetId="0">#REF!</definedName>
    <definedName name="ﾌﾟﾛｸﾞﾗﾑID">#REF!</definedName>
    <definedName name="ﾌﾟﾛｸﾞﾗﾑ名称" localSheetId="0">#REF!</definedName>
    <definedName name="ﾌﾟﾛｸﾞﾗﾑ名称">#REF!</definedName>
    <definedName name="へ高" localSheetId="0" hidden="1">#REF!</definedName>
    <definedName name="へ高" hidden="1">#REF!</definedName>
    <definedName name="ぽい" localSheetId="0" hidden="1">#REF!</definedName>
    <definedName name="ぽい" hidden="1">#REF!</definedName>
    <definedName name="み" localSheetId="0" hidden="1">#REF!</definedName>
    <definedName name="み" hidden="1">#REF!</definedName>
    <definedName name="メッセージ" localSheetId="0">#REF!</definedName>
    <definedName name="メッセージ">#REF!</definedName>
    <definedName name="ﾒﾝﾊﾞ1" localSheetId="0">#REF!</definedName>
    <definedName name="ﾒﾝﾊﾞ1">#REF!</definedName>
    <definedName name="ﾒﾝﾊﾞ2" localSheetId="0">#REF!</definedName>
    <definedName name="ﾒﾝﾊﾞ2">#REF!</definedName>
    <definedName name="メンバ３" localSheetId="0">#REF!</definedName>
    <definedName name="メンバ３">#REF!</definedName>
    <definedName name="ﾚﾋﾞｭｰ１１２６" localSheetId="0" hidden="1">#REF!</definedName>
    <definedName name="ﾚﾋﾞｭｰ１１２６" hidden="1">#REF!</definedName>
    <definedName name="ロックなし読み取り" localSheetId="0">#REF!</definedName>
    <definedName name="ロックなし読み取り">#REF!</definedName>
    <definedName name="ロック固定" localSheetId="0">#REF!</definedName>
    <definedName name="ロック固定">#REF!</definedName>
    <definedName name="んｎ" localSheetId="0" hidden="1">#REF!</definedName>
    <definedName name="んｎ" hidden="1">#REF!</definedName>
    <definedName name="作成者" localSheetId="0">#REF!</definedName>
    <definedName name="作成者">#REF!</definedName>
    <definedName name="作成要領" localSheetId="0" hidden="1">#REF!</definedName>
    <definedName name="作成要領" hidden="1">#REF!</definedName>
    <definedName name="先頭１行読み" localSheetId="0">#REF!</definedName>
    <definedName name="先頭１行読み">#REF!</definedName>
    <definedName name="円" localSheetId="0">#REF!</definedName>
    <definedName name="円">#REF!</definedName>
    <definedName name="円→ドル" localSheetId="0">#REF!</definedName>
    <definedName name="円→ドル">#REF!</definedName>
    <definedName name="勘定共通部あ" localSheetId="0" hidden="1">#REF!</definedName>
    <definedName name="勘定共通部あ" hidden="1">#REF!</definedName>
    <definedName name="区分１" localSheetId="0">#REF!</definedName>
    <definedName name="区分１">#REF!</definedName>
    <definedName name="区分２" localSheetId="0">#REF!</definedName>
    <definedName name="区分２">#REF!</definedName>
    <definedName name="区分3" localSheetId="0">#REF!</definedName>
    <definedName name="区分3">#REF!</definedName>
    <definedName name="参照項" localSheetId="0">#REF!</definedName>
    <definedName name="参照項">#REF!</definedName>
    <definedName name="収益" localSheetId="0">#REF!</definedName>
    <definedName name="収益">#REF!</definedName>
    <definedName name="口座開設" localSheetId="0">#REF!</definedName>
    <definedName name="口座開設">#REF!</definedName>
    <definedName name="口座開設レイアウト" localSheetId="0">#REF!</definedName>
    <definedName name="口座開設レイアウト">#REF!</definedName>
    <definedName name="名前変更" localSheetId="0" hidden="1">#REF!</definedName>
    <definedName name="名前変更" hidden="1">#REF!</definedName>
    <definedName name="名称" localSheetId="0">#REF!</definedName>
    <definedName name="名称">#REF!</definedName>
    <definedName name="回答" localSheetId="0">#REF!</definedName>
    <definedName name="回答">#REF!</definedName>
    <definedName name="基準日" localSheetId="0">#REF!</definedName>
    <definedName name="基準日">#REF!</definedName>
    <definedName name="基準日DD" localSheetId="0">#REF!</definedName>
    <definedName name="基準日DD">#REF!</definedName>
    <definedName name="変更" localSheetId="0">#REF!</definedName>
    <definedName name="変更">#REF!</definedName>
    <definedName name="変更Ｂ" localSheetId="0">#REF!</definedName>
    <definedName name="変更Ｂ">#REF!</definedName>
    <definedName name="変更後" localSheetId="0" hidden="1">#REF!</definedName>
    <definedName name="変更後" hidden="1">#REF!</definedName>
    <definedName name="外部ﾓｼﾞｭｰﾙID" localSheetId="0">#REF!</definedName>
    <definedName name="外部ﾓｼﾞｭｰﾙID">#REF!</definedName>
    <definedName name="外部ﾓｼﾞｭｰﾙ名称" localSheetId="0">#REF!</definedName>
    <definedName name="外部ﾓｼﾞｭｰﾙ名称">#REF!</definedName>
    <definedName name="外部設計書" localSheetId="0" hidden="1">#REF!</definedName>
    <definedName name="外部設計書" hidden="1">#REF!</definedName>
    <definedName name="嫁ごう" localSheetId="0" hidden="1">#REF!</definedName>
    <definedName name="嫁ごう" hidden="1">#REF!</definedName>
    <definedName name="安藤" localSheetId="0" hidden="1">#REF!</definedName>
    <definedName name="安藤" hidden="1">#REF!</definedName>
    <definedName name="導入時期う" localSheetId="0" hidden="1">#REF!</definedName>
    <definedName name="導入時期う" hidden="1">#REF!</definedName>
    <definedName name="帳票" localSheetId="0">#REF!</definedName>
    <definedName name="帳票">#REF!</definedName>
    <definedName name="帳票ＩＤ" localSheetId="0">#REF!</definedName>
    <definedName name="帳票ＩＤ">#REF!</definedName>
    <definedName name="帳票レイアウト２" localSheetId="0">#REF!</definedName>
    <definedName name="帳票レイアウト２">#REF!</definedName>
    <definedName name="帳票名" localSheetId="0">#REF!</definedName>
    <definedName name="帳票名">#REF!</definedName>
    <definedName name="帳票名称" localSheetId="0">#REF!</definedName>
    <definedName name="帳票名称">#REF!</definedName>
    <definedName name="帳票日本語" localSheetId="0">#REF!</definedName>
    <definedName name="帳票日本語">#REF!</definedName>
    <definedName name="帳票英名" localSheetId="0">#REF!</definedName>
    <definedName name="帳票英名">#REF!</definedName>
    <definedName name="帳票電文ID" localSheetId="0">#REF!</definedName>
    <definedName name="帳票電文ID">#REF!</definedName>
    <definedName name="帳票電文名称" localSheetId="0">#REF!</definedName>
    <definedName name="帳票電文名称">#REF!</definedName>
    <definedName name="店番情報" localSheetId="0">#REF!</definedName>
    <definedName name="店番情報">#REF!</definedName>
    <definedName name="担当" localSheetId="0">#REF!</definedName>
    <definedName name="担当">#REF!</definedName>
    <definedName name="担当会社" localSheetId="0">#REF!</definedName>
    <definedName name="担当会社">#REF!</definedName>
    <definedName name="担当者" localSheetId="0">#REF!</definedName>
    <definedName name="担当者">#REF!</definedName>
    <definedName name="担当者名" localSheetId="0">#REF!</definedName>
    <definedName name="担当者名">#REF!</definedName>
    <definedName name="木" localSheetId="0" hidden="1">#REF!</definedName>
    <definedName name="木" hidden="1">#REF!</definedName>
    <definedName name="束原" localSheetId="0" hidden="1">#REF!</definedName>
    <definedName name="束原" hidden="1">#REF!</definedName>
    <definedName name="栗" localSheetId="0" hidden="1">#REF!</definedName>
    <definedName name="栗" hidden="1">#REF!</definedName>
    <definedName name="検索列指定" localSheetId="0">#REF!</definedName>
    <definedName name="検索列指定">#REF!</definedName>
    <definedName name="業務共通" localSheetId="0">#REF!</definedName>
    <definedName name="業務共通">#REF!</definedName>
    <definedName name="機構" localSheetId="0" hidden="1">#REF!</definedName>
    <definedName name="機構" hidden="1">#REF!</definedName>
    <definedName name="機能一覧" localSheetId="0">#REF!</definedName>
    <definedName name="機能一覧">#REF!</definedName>
    <definedName name="画面ID" localSheetId="0">#REF!</definedName>
    <definedName name="画面ID">#REF!</definedName>
    <definedName name="画面ﾚｲｱｳﾄ" localSheetId="0" hidden="1">#REF!</definedName>
    <definedName name="画面ﾚｲｱｳﾄ" hidden="1">#REF!</definedName>
    <definedName name="画面名称" localSheetId="0">#REF!</definedName>
    <definedName name="画面名称">#REF!</definedName>
    <definedName name="画面定義書" localSheetId="0" hidden="1">#REF!</definedName>
    <definedName name="画面定義書" hidden="1">#REF!</definedName>
    <definedName name="画面電文ID" localSheetId="0">#REF!</definedName>
    <definedName name="画面電文ID">#REF!</definedName>
    <definedName name="画面電文名称" localSheetId="0">#REF!</definedName>
    <definedName name="画面電文名称">#REF!</definedName>
    <definedName name="編集９９９９" localSheetId="0" hidden="1">#REF!</definedName>
    <definedName name="編集９９９９" hidden="1">#REF!</definedName>
    <definedName name="編集仕様" localSheetId="0" hidden="1">#REF!</definedName>
    <definedName name="編集仕様" hidden="1">#REF!</definedName>
    <definedName name="表列情報日付" localSheetId="0">#REF!</definedName>
    <definedName name="表列情報日付">#REF!</definedName>
    <definedName name="表紙" localSheetId="0" hidden="1">#REF!</definedName>
    <definedName name="表紙" hidden="1">#REF!</definedName>
    <definedName name="表紙１" localSheetId="0" hidden="1">#REF!</definedName>
    <definedName name="表紙１" hidden="1">#REF!</definedName>
    <definedName name="要件定義書No23" localSheetId="0" hidden="1">{"'NewYork'!$AD$46","'NewYork'!$A$7:$BG$42"}</definedName>
    <definedName name="要件定義書No23" hidden="1">{"'NewYork'!$AD$46","'NewYork'!$A$7:$BG$42"}</definedName>
    <definedName name="規定" localSheetId="0" hidden="1">#REF!</definedName>
    <definedName name="規定" hidden="1">#REF!</definedName>
    <definedName name="論理テーブル定義書" localSheetId="0" hidden="1">#REF!</definedName>
    <definedName name="論理テーブル定義書" hidden="1">#REF!</definedName>
    <definedName name="部品" localSheetId="0" hidden="1">#REF!</definedName>
    <definedName name="部品" hidden="1">#REF!</definedName>
    <definedName name="部品ＩＤ" localSheetId="0">#REF!</definedName>
    <definedName name="部品ＩＤ">#REF!</definedName>
    <definedName name="関数読み" localSheetId="0">#REF!</definedName>
    <definedName name="関数読み">#REF!</definedName>
    <definedName name="関連表" localSheetId="0" hidden="1">#REF!</definedName>
    <definedName name="関連表" hidden="1">#REF!</definedName>
    <definedName name="関連表１" localSheetId="0" hidden="1">#REF!</definedName>
    <definedName name="関連表１" hidden="1">#REF!</definedName>
    <definedName name="電文ID" localSheetId="0">#REF!</definedName>
    <definedName name="電文ID">#REF!</definedName>
    <definedName name="電文名称" localSheetId="0">#REF!</definedName>
    <definedName name="電文名称">#REF!</definedName>
    <definedName name="項目明細Ａ" localSheetId="0" hidden="1">#REF!</definedName>
    <definedName name="項目明細Ａ" hidden="1">#REF!</definedName>
    <definedName name="項目編集明細" localSheetId="0" hidden="1">#REF!</definedName>
    <definedName name="項目編集明細" hidden="1">#REF!</definedName>
    <definedName name="項目編集明細_LM0000_S22_参照" localSheetId="0">#REF!</definedName>
    <definedName name="項目編集明細_LM0000_S22_参照">#REF!</definedName>
    <definedName name="項目編集明細_LQ0000_S31_参照" localSheetId="0">#REF!</definedName>
    <definedName name="項目編集明細_LQ0000_S31_参照">#REF!</definedName>
    <definedName name="項目編集明細_LQ0000_S32_参照" localSheetId="0">#REF!</definedName>
    <definedName name="項目編集明細_LQ0000_S32_参照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9" i="46" l="1"/>
  <c r="G187" i="46" l="1"/>
  <c r="G188" i="46"/>
  <c r="G133" i="46"/>
  <c r="G192" i="46" l="1"/>
  <c r="G191" i="46"/>
  <c r="G150" i="46"/>
  <c r="G147" i="46"/>
  <c r="G146" i="46"/>
  <c r="G139" i="46"/>
  <c r="G127" i="46"/>
  <c r="G110" i="46"/>
  <c r="G116" i="46"/>
  <c r="G91" i="46"/>
  <c r="G93" i="46"/>
  <c r="G113" i="46"/>
  <c r="G114" i="46"/>
  <c r="G122" i="46"/>
  <c r="G120" i="46"/>
  <c r="G121" i="46"/>
  <c r="G106" i="46"/>
  <c r="G171" i="46"/>
  <c r="G109" i="46"/>
  <c r="G119" i="46"/>
  <c r="G105" i="46"/>
  <c r="G107" i="46"/>
  <c r="G179" i="46"/>
  <c r="G144" i="46"/>
  <c r="G137" i="46"/>
  <c r="G108" i="46"/>
  <c r="G136" i="46"/>
  <c r="G180" i="46"/>
  <c r="G138" i="46"/>
  <c r="G186" i="46"/>
  <c r="G140" i="46"/>
  <c r="G92" i="46"/>
  <c r="G126" i="46"/>
  <c r="G104" i="46"/>
  <c r="G102" i="46"/>
  <c r="G145" i="46"/>
  <c r="G80" i="46"/>
  <c r="G85" i="46"/>
  <c r="G90" i="46"/>
  <c r="G89" i="46"/>
  <c r="G87" i="46"/>
  <c r="G141" i="46"/>
  <c r="G170" i="46"/>
  <c r="G176" i="46"/>
  <c r="G183" i="46"/>
  <c r="G185" i="46"/>
  <c r="G135" i="46"/>
  <c r="G134" i="46"/>
  <c r="G129" i="46"/>
  <c r="G124" i="46"/>
  <c r="G103" i="46"/>
  <c r="G158" i="46"/>
  <c r="G112" i="46"/>
  <c r="G111" i="46"/>
  <c r="G115" i="46"/>
  <c r="G118" i="46"/>
  <c r="G190" i="46"/>
</calcChain>
</file>

<file path=xl/sharedStrings.xml><?xml version="1.0" encoding="utf-8"?>
<sst xmlns="http://schemas.openxmlformats.org/spreadsheetml/2006/main" count="985" uniqueCount="539">
  <si>
    <t>Remarks</t>
  </si>
  <si>
    <t>-</t>
  </si>
  <si>
    <t>Description</t>
  </si>
  <si>
    <t>BUSINESS_DATE</t>
  </si>
  <si>
    <t>Date</t>
  </si>
  <si>
    <t>DATA_SOURCE</t>
  </si>
  <si>
    <t>PARTY_NO</t>
  </si>
  <si>
    <t>ACCT_NO</t>
  </si>
  <si>
    <t>SPRTY_NO</t>
  </si>
  <si>
    <t>ID_PARTY</t>
  </si>
  <si>
    <t>POOL_ID</t>
  </si>
  <si>
    <t>LIMIT_NO</t>
  </si>
  <si>
    <t>INIT_CONTRACT_NO</t>
  </si>
  <si>
    <t>BRANCH_CD</t>
  </si>
  <si>
    <t>RESTRU_CD</t>
  </si>
  <si>
    <t>CCY_CD</t>
  </si>
  <si>
    <t>CREDIT_CLASS</t>
  </si>
  <si>
    <t>OPERATION</t>
  </si>
  <si>
    <t>TRANSFER_OS</t>
  </si>
  <si>
    <t>SID_START</t>
  </si>
  <si>
    <t>SYR_CONTRACT</t>
  </si>
  <si>
    <t>SPECPROD_NONPKE</t>
  </si>
  <si>
    <t>PROGRAM_PKE</t>
  </si>
  <si>
    <t>ID_BANK</t>
  </si>
  <si>
    <t>ID_FACILITY</t>
  </si>
  <si>
    <t>ID_BRANCH_OFFICE</t>
  </si>
  <si>
    <t>ID_OFFICE</t>
  </si>
  <si>
    <t>ID_CCY</t>
  </si>
  <si>
    <t>ACC_TP</t>
  </si>
  <si>
    <t>ACCT_TP</t>
  </si>
  <si>
    <t>FAC_TP</t>
  </si>
  <si>
    <t>USAGE_TP</t>
  </si>
  <si>
    <t>PROD_TP</t>
  </si>
  <si>
    <t>ORIENT_TP</t>
  </si>
  <si>
    <t>INT_TP</t>
  </si>
  <si>
    <t>RESTRU_TP</t>
  </si>
  <si>
    <t>NOVATION_TP</t>
  </si>
  <si>
    <t>RESTRU_CNT</t>
  </si>
  <si>
    <t>Smallint</t>
  </si>
  <si>
    <t>LIMIT_CAT</t>
  </si>
  <si>
    <t>SYND_PART_PCT</t>
  </si>
  <si>
    <t>MAIN_CA</t>
  </si>
  <si>
    <t>LATEST_CA</t>
  </si>
  <si>
    <t>SERIAL_NO</t>
  </si>
  <si>
    <t>PRJ_LOC</t>
  </si>
  <si>
    <t>C_CENT</t>
  </si>
  <si>
    <t>CB_LOC_CD</t>
  </si>
  <si>
    <t>HS_ES_CD</t>
  </si>
  <si>
    <t>ECO_SECTOR_CD</t>
  </si>
  <si>
    <t>BUS_PROG_CD</t>
  </si>
  <si>
    <t>GOV_CR_CD</t>
  </si>
  <si>
    <t>CONTRACT_TP_CD</t>
  </si>
  <si>
    <t>CR_TP_CD</t>
  </si>
  <si>
    <t>LOAN_QUALITY_CONTRACT</t>
  </si>
  <si>
    <t>INIT_CONTRACT_DT</t>
  </si>
  <si>
    <t>INT_RT_INFO</t>
  </si>
  <si>
    <t>NATURE_INT_RT</t>
  </si>
  <si>
    <t>INT_RT</t>
  </si>
  <si>
    <t>CONTRACT_NO</t>
  </si>
  <si>
    <t>CONTRACT_DT</t>
  </si>
  <si>
    <t>DUE_DT</t>
  </si>
  <si>
    <t>MATURITY_DT</t>
  </si>
  <si>
    <t>VALUE_DT</t>
  </si>
  <si>
    <t>LAST_REVAL_DATE</t>
  </si>
  <si>
    <t>START_DT</t>
  </si>
  <si>
    <t>CREDIT_START_DT</t>
  </si>
  <si>
    <t>RESTRU_DT</t>
  </si>
  <si>
    <t>RESTRU_START_DT</t>
  </si>
  <si>
    <t>NOVATION_DT</t>
  </si>
  <si>
    <t>EXP_REV_PKE</t>
  </si>
  <si>
    <t>EXP_REV_PKE_DT</t>
  </si>
  <si>
    <t>RATING_CURR_DT</t>
  </si>
  <si>
    <t>GROUP_LIMIT</t>
  </si>
  <si>
    <t>RATE_FCY</t>
  </si>
  <si>
    <t>RATE_FLOAT_REF</t>
  </si>
  <si>
    <t>LIMIT_RENEW_CNT</t>
  </si>
  <si>
    <t>PRJ_AMT</t>
  </si>
  <si>
    <t>COLL_AMT</t>
  </si>
  <si>
    <t>LIMIT_STATUS</t>
  </si>
  <si>
    <t>RECORD_STATUS</t>
  </si>
  <si>
    <t>ORI_INIT_LIMIT_AMT</t>
  </si>
  <si>
    <t>LCY_INIT_LIMIT_AMT</t>
  </si>
  <si>
    <t>ORI_LIMIT_AMT</t>
  </si>
  <si>
    <t>LCY_LIMIT_AMT</t>
  </si>
  <si>
    <t>LCY_BAL</t>
  </si>
  <si>
    <t>ORI_BAL</t>
  </si>
  <si>
    <t>LCY_AVAIL</t>
  </si>
  <si>
    <t>ORI_AVAIL</t>
  </si>
  <si>
    <t>LAST_AVAIL_DT</t>
  </si>
  <si>
    <t>LCY_UTILIZATION</t>
  </si>
  <si>
    <t>ORI_UTILIZATION</t>
  </si>
  <si>
    <t>ORI_MARKET_LIMIT_AMT</t>
  </si>
  <si>
    <t>LCY_MARKET_LIMIT_AMT</t>
  </si>
  <si>
    <t>ORI_DISBURSE_AVAIL</t>
  </si>
  <si>
    <t>LCY_DISBURSE_AVAIL</t>
  </si>
  <si>
    <t>ORI_EXPOSURE</t>
  </si>
  <si>
    <t>LCY_EXPOSURE</t>
  </si>
  <si>
    <t>CUM_REALIZATION</t>
  </si>
  <si>
    <t>PPAP</t>
  </si>
  <si>
    <t>REVOLVING</t>
  </si>
  <si>
    <t>RE_ASSURANCE</t>
  </si>
  <si>
    <t>MAIN_LIMIT_REF</t>
  </si>
  <si>
    <t>MAIN_LINE</t>
  </si>
  <si>
    <t>MAIN_LINE_ID</t>
  </si>
  <si>
    <t>DATA_ID</t>
  </si>
  <si>
    <t>FAC_ID</t>
  </si>
  <si>
    <t>GROUP_ID</t>
  </si>
  <si>
    <t>NEW_ID</t>
  </si>
  <si>
    <t>DEBTOR_CONDITION</t>
  </si>
  <si>
    <t>DEBTOR_ISSUE</t>
  </si>
  <si>
    <t>ORI_DEBTOR</t>
  </si>
  <si>
    <t>DISCOUNT</t>
  </si>
  <si>
    <t>IS_SUBLIMIT</t>
  </si>
  <si>
    <t>NOTES_TXT</t>
  </si>
  <si>
    <t>REVIEW_TERMS</t>
  </si>
  <si>
    <t>CREDIT_NATURE</t>
  </si>
  <si>
    <t>FAC_CONDITION</t>
  </si>
  <si>
    <t>COLLECTABILITY</t>
  </si>
  <si>
    <t>DIFN</t>
  </si>
  <si>
    <t>NIP_RM</t>
  </si>
  <si>
    <t>RC_CODE</t>
  </si>
  <si>
    <t>IS_CHILD</t>
  </si>
  <si>
    <t>PARENT_LINE_CODE</t>
  </si>
  <si>
    <t>GRADE_CHANGE_DT</t>
  </si>
  <si>
    <t>ORI_OVERDUE_INT_AMT</t>
  </si>
  <si>
    <t>LCY_OVERDUE_INT_AMT</t>
  </si>
  <si>
    <t>GAP</t>
  </si>
  <si>
    <t>ID</t>
  </si>
  <si>
    <t>BRN</t>
  </si>
  <si>
    <t>Y</t>
  </si>
  <si>
    <t>CUSTOMER_NO</t>
  </si>
  <si>
    <t>LINE_START_DATE</t>
  </si>
  <si>
    <t>LINE_EXPIRY_DATE</t>
  </si>
  <si>
    <t>FACILITY_TYPE</t>
  </si>
  <si>
    <t>REVISION_DATE</t>
  </si>
  <si>
    <t>FIELD_VAL_2</t>
  </si>
  <si>
    <t>FIELD_VAL_17</t>
  </si>
  <si>
    <t>LINE_CURRENCY</t>
  </si>
  <si>
    <t>FIELD_VAL_1</t>
  </si>
  <si>
    <t>FIELD_VAL_3</t>
  </si>
  <si>
    <t>FIELD_VAL_4</t>
  </si>
  <si>
    <t>FIELD_VAL_5</t>
  </si>
  <si>
    <t>FIELD_VAL_6</t>
  </si>
  <si>
    <t>FIELD_VAL_7</t>
  </si>
  <si>
    <t>FIELD_VAL_8</t>
  </si>
  <si>
    <t>FIELD_VAL_9</t>
  </si>
  <si>
    <t>FIELD_VAL_10</t>
  </si>
  <si>
    <t>FIELD_VAL_11</t>
  </si>
  <si>
    <t>FIELD_VAL_12</t>
  </si>
  <si>
    <t>FIELD_VAL_13</t>
  </si>
  <si>
    <t>FIELD_VAL_14</t>
  </si>
  <si>
    <t>FIELD_VAL_15</t>
  </si>
  <si>
    <t>FIELD_VAL_16</t>
  </si>
  <si>
    <t>FIELD_VAL_18</t>
  </si>
  <si>
    <t>FIELD_VAL_19</t>
  </si>
  <si>
    <t>FIELD_VAL_21</t>
  </si>
  <si>
    <t>FIELD_VAL_22</t>
  </si>
  <si>
    <t>N/A</t>
  </si>
  <si>
    <t>FIELD_VAL_23</t>
  </si>
  <si>
    <t>FIELD_VAL_24</t>
  </si>
  <si>
    <t>FIELD_VAL_25</t>
  </si>
  <si>
    <t>FIELD_VAL_26</t>
  </si>
  <si>
    <t>FIELD_VAL_27</t>
  </si>
  <si>
    <t>FIELD_VAL_28</t>
  </si>
  <si>
    <t>FIELD_VAL_29</t>
  </si>
  <si>
    <t>FIELD_VAL_30</t>
  </si>
  <si>
    <t>FIELD_VAL_31</t>
  </si>
  <si>
    <t>FIELD_VAL_32</t>
  </si>
  <si>
    <t>FIELD_VAL_33</t>
  </si>
  <si>
    <t>FIELD_VAL_34</t>
  </si>
  <si>
    <t>FIELD_VAL_35</t>
  </si>
  <si>
    <t>FIELD_VAL_36</t>
  </si>
  <si>
    <t>FIELD_VAL_37</t>
  </si>
  <si>
    <t>FIELD_VAL_38</t>
  </si>
  <si>
    <t>FIELD_VAL_39</t>
  </si>
  <si>
    <t>FIELD_VAL_40</t>
  </si>
  <si>
    <t>FIELD_VAL_41</t>
  </si>
  <si>
    <t>FIELD_VAL_42</t>
  </si>
  <si>
    <t>FIELD_VAL_43</t>
  </si>
  <si>
    <t>FIELD_VAL_44</t>
  </si>
  <si>
    <t>FIELD_VAL_45</t>
  </si>
  <si>
    <t>FIELD_VAL_46</t>
  </si>
  <si>
    <t>FIELD_VAL_47</t>
  </si>
  <si>
    <t>FIELD_VAL_48</t>
  </si>
  <si>
    <t>FIELD_VAL_49</t>
  </si>
  <si>
    <t>FIELD_VAL_50</t>
  </si>
  <si>
    <t>UDF_VALUE_1</t>
  </si>
  <si>
    <t>'S'</t>
  </si>
  <si>
    <t>UDF_VALUE_5</t>
  </si>
  <si>
    <t>DESTINATION TABLE: IM_LIMIT</t>
  </si>
  <si>
    <t>DATA SOURCE</t>
  </si>
  <si>
    <t>No</t>
  </si>
  <si>
    <t>Source Table</t>
  </si>
  <si>
    <t>Table Name</t>
  </si>
  <si>
    <t>Type</t>
  </si>
  <si>
    <t>Alias</t>
  </si>
  <si>
    <t>Logical Op</t>
  </si>
  <si>
    <t>Join Condition</t>
  </si>
  <si>
    <t>LPEI_EDW_STG</t>
  </si>
  <si>
    <t>STG_UBS_GETM_FACILITY</t>
  </si>
  <si>
    <t>DB</t>
  </si>
  <si>
    <t>gfac</t>
  </si>
  <si>
    <t>STG_UBS_GETM_LIAB</t>
  </si>
  <si>
    <t>liab</t>
  </si>
  <si>
    <t>LEFT JOIN</t>
  </si>
  <si>
    <t>ON</t>
  </si>
  <si>
    <t>liab.BUSINESS_DATE = gfac.BUSINESS_DATE</t>
  </si>
  <si>
    <t>AND</t>
  </si>
  <si>
    <t>liab.ID = gfac.LIAB_ID</t>
  </si>
  <si>
    <t>LPE_EDW_STG</t>
  </si>
  <si>
    <t>STG_UBS_STTM_CUSTOMER
STG_UBS_CSTM_FUNCTION_USERDEF_FIELDS</t>
  </si>
  <si>
    <t>scus</t>
  </si>
  <si>
    <t>(SELECT C.*, E.FIELD_VAL_2, E.FIELD_VAL_17
    FROM STG_UBS_STTM_CUSTOMER C
    LEFT JOIN STG_UBS_CSTM_FUNCTION_USERDEF_FIELDS E
        ON E.REC_KEY = C.CUSTOMER_NO + '~'
       AND E.FUNCTION_ID = 'STDCIF'
)</t>
  </si>
  <si>
    <t>scust.BUSINESS_DATE = liab.BUSINESS_DATE</t>
  </si>
  <si>
    <t>scus.CUSTOMER_NO = liab.LIAB_NO</t>
  </si>
  <si>
    <t>scus.RECORD_STAT = 'O'</t>
  </si>
  <si>
    <t>STG_UBS_STTM_CUST_GROUP</t>
  </si>
  <si>
    <t>cg</t>
  </si>
  <si>
    <t>cg.BUSINESS_DATE = scus.BUSINESS_DATE</t>
  </si>
  <si>
    <t>cg.CUSTOMER_NO = scus.CUSTOMER_NO</t>
  </si>
  <si>
    <t>STG_UBS_STTM_DATES</t>
  </si>
  <si>
    <t>dates</t>
  </si>
  <si>
    <t>(SELECT TODAY FROM STG_UBS_STTM_DATES WHERE BRANCH_CODE = '000')</t>
  </si>
  <si>
    <t>1 = 1</t>
  </si>
  <si>
    <t>STG_UBS_MITM_CUSTOMER_DEFAULT</t>
  </si>
  <si>
    <t>mcd</t>
  </si>
  <si>
    <t>mcd.BUSINESS_DATE = liab.BUSINESS_DATE</t>
  </si>
  <si>
    <t>mcd.CUSTOMER = scus.CUSTOMER_NO</t>
  </si>
  <si>
    <t>STG_UBS_CSTM_FUNCTION_USERDEF_FIELDS</t>
  </si>
  <si>
    <t>cfuf</t>
  </si>
  <si>
    <t>cfuf.BUSINESS_DATE = gfac.BUSINESS_DATE</t>
  </si>
  <si>
    <t>cfuf.REC_KEY = ('~GETMS_FACILITY~' + gfac.line_code + '~' + gfac.liab_id + '~' + gfac.line_serial + '~')</t>
  </si>
  <si>
    <t>cfuf.FUNCTION_ID = 'GEDFACLT'</t>
  </si>
  <si>
    <t>udf_cif</t>
  </si>
  <si>
    <t>udf_cif.BUSINESS_DATE = scus.BUSINESS_DATE</t>
  </si>
  <si>
    <t>udf_cif.REC_KEY = scus.CUSTOMER_NO + '~'</t>
  </si>
  <si>
    <t>udf_cif.FUNCTION_ID = 'STDCIF'</t>
  </si>
  <si>
    <t>STG_UBS_CYTB_RATES_HISTORY</t>
  </si>
  <si>
    <t>rate_usd</t>
  </si>
  <si>
    <t>(
SELECT BUSINESS_DATE, MID_RATE 
FROM (
          SELECT TOP 1 BUSINESS_DATE, MID_RATE, RATE_DT_STAMP 
          FROM STG_UBS_CYTB_RATES_HISTORY
          WHERE CCY1 = 'USD' ORDER BY RATE_DT_STAMP DESC
            ) 
)</t>
  </si>
  <si>
    <t>rate_usd.BUSINESS_DATE = gfac.BUSINESS_DATE</t>
  </si>
  <si>
    <t>gfac.LINE_CURRENCY = 'USD'</t>
  </si>
  <si>
    <t>rate_sgd</t>
  </si>
  <si>
    <t>(
SELECT BUSINESS_DATE, MID_RATE 
FROM (
          SELECT TOP 1 BUSINESS_DATE, MID_RATE, RATE_DT_STAMP 
          FROM STG_UBS_CYTB_RATES_HISTORY
          WHERE CCY1 = 'SGD' ORDER BY RATE_DT_STAMP DESC
            ) 
)</t>
  </si>
  <si>
    <t>rate_sgd.BUSINESS_DATE = gfac.BUSINESS_DATE</t>
  </si>
  <si>
    <t>gfac.LINE_CURRENCY = 'SGD'</t>
  </si>
  <si>
    <t>rate_myr</t>
  </si>
  <si>
    <t>(
SELECT BUSINESS_DATE, MID_RATE 
FROM (
          SELECT TOP 1 BUSINESS_DATE, MID_RATE, RATE_DT_STAMP 
          FROM STG_UBS_CYTB_RATES_HISTORY
          WHERE CCY1 = 'MYR' ORDER BY RATE_DT_STAMP DESC
            ) 
)</t>
  </si>
  <si>
    <t>rate_myr.BUSINESS_DATE = gfac.BUSINESS_DATE</t>
  </si>
  <si>
    <t>gfac.LINE_CURRENCY = 'MYR'</t>
  </si>
  <si>
    <t>rate_jpy</t>
  </si>
  <si>
    <t>(
SELECT BUSINESS_DATE, MID_RATE 
FROM (
          SELECT TOP 1 BUSINESS_DATE, MID_RATE, RATE_DT_STAMP 
          FROM STG_UBS_CYTB_RATES_HISTORY
          WHERE CCY1 = 'JPY' ORDER BY RATE_DT_STAMP DESC
            ) 
)</t>
  </si>
  <si>
    <t>rate_jpy.BUSINESS_DATE = gfac.BUSINESS_DATE</t>
  </si>
  <si>
    <t>gfac.LINE_CURRENCY = 'JPY'</t>
  </si>
  <si>
    <t>rate_eur</t>
  </si>
  <si>
    <t>(
SELECT BUSINESS_DATE, MID_RATE 
FROM (
          SELECT TOP 1 BUSINESS_DATE, MID_RATE, RATE_DT_STAMP 
          FROM STG_UBS_CYTB_RATES_HISTORY
          WHERE CCY1 = 'EUR' ORDER BY RATE_DT_STAMP DESC
            ) 
)</t>
  </si>
  <si>
    <t>rate_eur.BUSINESS_DATE = gfac.BUSINESS_DATE</t>
  </si>
  <si>
    <t>gfac.LINE_CURRENCY = 'EUR'</t>
  </si>
  <si>
    <t>rate_cny</t>
  </si>
  <si>
    <t>(
SELECT BUSINESS_DATE, MID_RATE 
FROM (
          SELECT TOP 1 BUSINESS_DATE, MID_RATE, RATE_DT_STAMP 
          FROM STG_UBS_CYTB_RATES_HISTORY
          WHERE CCY1 = 'CNY' ORDER BY RATE_DT_STAMP DESC
            ) 
)</t>
  </si>
  <si>
    <t>rate_cny.BUSINESS_DATE = gfac.BUSINESS_DATE</t>
  </si>
  <si>
    <t>gfac.LINE_CURRENCY = 'CNY'</t>
  </si>
  <si>
    <t>rate_chf</t>
  </si>
  <si>
    <t>(
SELECT BUSINESS_DATE, MID_RATE 
FROM (
          SELECT TOP 1 BUSINESS_DATE, MID_RATE, RATE_DT_STAMP 
          FROM STG_UBS_CYTB_RATES_HISTORY
          WHERE CCY1 = 'CHF' ORDER BY RATE_DT_STAMP DESC
            ) 
)</t>
  </si>
  <si>
    <t>rate_chf.BUSINESS_DATE = gfac.BUSINESS_DATE</t>
  </si>
  <si>
    <t>gfac.LINE_CURRENCY = 'CHF'</t>
  </si>
  <si>
    <t>dt</t>
  </si>
  <si>
    <t>CROSS JOIN</t>
  </si>
  <si>
    <t>STG_UBS_GETB_POOL_LINK</t>
  </si>
  <si>
    <t>pool</t>
  </si>
  <si>
    <t>pool.BUSINESS_DATE = liab.BUSINESS_DATE</t>
  </si>
  <si>
    <t>pool.LIAB_ID = gfac.LIAB_ID</t>
  </si>
  <si>
    <t>pool.FACILITY_ID = gfac.ID</t>
  </si>
  <si>
    <t>AGGREGATION</t>
  </si>
  <si>
    <t>SUBQUERY LIMIT</t>
  </si>
  <si>
    <t>G</t>
  </si>
  <si>
    <t>BUSINESS_DATE = @BUSINESS_DATE</t>
  </si>
  <si>
    <t>scus.CUSTOMER_NO = G.CUSTOMER_ID</t>
  </si>
  <si>
    <t>G.LINKED_REFERENCE_NO = gfac.line_code + CAST(gfac.line_serial AS VARCHAR)</t>
  </si>
  <si>
    <t>G.LINE_CURRENCY = gfac.LINE_CURRENCY</t>
  </si>
  <si>
    <t>g2</t>
  </si>
  <si>
    <t>g2.BUSINESS_DATE = gfac.BUSINESS_DATE</t>
  </si>
  <si>
    <t>g2.ID = gfac.MAIN_LINE_ID</t>
  </si>
  <si>
    <t>2. Aggregate by Condition (set N/A if not relevant)</t>
  </si>
  <si>
    <t>3. Filter (set N/A if not relevant)</t>
  </si>
  <si>
    <t>File/Table</t>
  </si>
  <si>
    <t>Field Name 
(Group by)</t>
  </si>
  <si>
    <t>Filter Condition</t>
  </si>
  <si>
    <t>Remarks 
(business definition of the filter
e.g. active customer, transaction already posted)</t>
  </si>
  <si>
    <t>WHERE</t>
  </si>
  <si>
    <t>gfac.BUSINESS_DATE = @BUSINESS_DATE</t>
  </si>
  <si>
    <t>MAPPING FIELD</t>
  </si>
  <si>
    <t>DESTINATION FIELD</t>
  </si>
  <si>
    <t>No.</t>
  </si>
  <si>
    <t>Field Name</t>
  </si>
  <si>
    <t>Data Type</t>
  </si>
  <si>
    <t>SOURCE TABLE</t>
  </si>
  <si>
    <t>SOURCE FIELD</t>
  </si>
  <si>
    <t>LOGIC</t>
  </si>
  <si>
    <t>REMARKS</t>
  </si>
  <si>
    <t>Business Date / Effective Date</t>
  </si>
  <si>
    <t>@BUSINESS_DATE</t>
  </si>
  <si>
    <t>Generate by System</t>
  </si>
  <si>
    <t>Data Source</t>
  </si>
  <si>
    <t>Varchar(300)</t>
  </si>
  <si>
    <t>'IM_LIMIT'</t>
  </si>
  <si>
    <t>CIF Number</t>
  </si>
  <si>
    <t>Varchar(20)</t>
  </si>
  <si>
    <t>STG_UBS_STTM_CUSTOMER</t>
  </si>
  <si>
    <t>ISNULL( scus.CUSTOMER_NO ,'')</t>
  </si>
  <si>
    <t>Account Number</t>
  </si>
  <si>
    <t>Varchar(50)</t>
  </si>
  <si>
    <t xml:space="preserve">STG_UBS_GETM_LIAB
STG_UBS_GETM_FACILITY
</t>
  </si>
  <si>
    <t>LIAB_NO
LINE_CODE
LINE_SERIAL</t>
  </si>
  <si>
    <t>ISNULL(CAST(liab.liab_no AS VARCHAR), '') + ISNULL(CAST(gfac.line_code AS VARCHAR), '') + ISNULL(CAST(gfac.line_serial AS VARCHAR), '')</t>
  </si>
  <si>
    <t>refer to NO_REKENING</t>
  </si>
  <si>
    <t>Single CIF Number</t>
  </si>
  <si>
    <t>refer to PARTY</t>
  </si>
  <si>
    <t>NUMERIC(22)</t>
  </si>
  <si>
    <t>ISNULL(pool.POOL_ID, 0)</t>
  </si>
  <si>
    <t>Link to IM_COLL</t>
  </si>
  <si>
    <t>Limit Number / Facility Number</t>
  </si>
  <si>
    <t>LINE_CODE
LINE_SERIAL</t>
  </si>
  <si>
    <t>gfac.line_code + CAST(gfac.line_serial AS VARCHAR)</t>
  </si>
  <si>
    <t>LIMIT_NO sama dengan CREDIT_LINE di CSV</t>
  </si>
  <si>
    <t>Initial Contract No</t>
  </si>
  <si>
    <t>Varchar(150)</t>
  </si>
  <si>
    <t>ISNULL(gfac.udf_value_1,'')</t>
  </si>
  <si>
    <t>refer to NO_AKAD_AWAL</t>
  </si>
  <si>
    <t>Branch Code</t>
  </si>
  <si>
    <t>Varchar(10)</t>
  </si>
  <si>
    <t>ISNULL(gfac.BRN,'')</t>
  </si>
  <si>
    <t>refer to KODE_CARA_RESTRUKTURISASI</t>
  </si>
  <si>
    <t>Currency Code</t>
  </si>
  <si>
    <t>Char(3)</t>
  </si>
  <si>
    <t>ISNULL(gfac.LINE_CURRENCY,'')</t>
  </si>
  <si>
    <t>refer to CCY</t>
  </si>
  <si>
    <t>Credit Classification</t>
  </si>
  <si>
    <t>refer to GOLONGAN_KREDIT</t>
  </si>
  <si>
    <t>refer to OPERATION (Hardcoded)</t>
  </si>
  <si>
    <t>refer to OS_PENGALIHAN</t>
  </si>
  <si>
    <t>refer to SID_START_HERE</t>
  </si>
  <si>
    <t>refer SYR_AKAD</t>
  </si>
  <si>
    <t>refer to PRODUK_KHUSUS_NONPKE</t>
  </si>
  <si>
    <t>refer to PROGRAM_PKE</t>
  </si>
  <si>
    <t>'918'</t>
  </si>
  <si>
    <t>refer to ID_BANK (Hardcoded)</t>
  </si>
  <si>
    <t>Set to default ''</t>
  </si>
  <si>
    <t>refer to ID_FASILITAS</t>
  </si>
  <si>
    <t>'001'</t>
  </si>
  <si>
    <t>refer to ID_KTR_CABANG (Hardcoded)</t>
  </si>
  <si>
    <t>refer to ID_Lembaga (Hardcoded)</t>
  </si>
  <si>
    <t>refer to ID_VALUTA</t>
  </si>
  <si>
    <t>'0605'</t>
  </si>
  <si>
    <t>refer to JENIS_FASILITAS (Hardcoded)</t>
  </si>
  <si>
    <t>Additional field source from ACUMEN</t>
  </si>
  <si>
    <t>Char(1)</t>
  </si>
  <si>
    <t>ISNULL(gfac.FACILITY_TYPE,'')</t>
  </si>
  <si>
    <t>Additional field based on GETM_FACILLITY.FACILITY_TYPE</t>
  </si>
  <si>
    <t>refer to JENIS_PENGGUNAAN</t>
  </si>
  <si>
    <t>refer to JENIS_PRODUK</t>
  </si>
  <si>
    <t>refer to ORIENTASI_PENGGUNAAN</t>
  </si>
  <si>
    <t>refer to SUKU_BUNGA_TYPE</t>
  </si>
  <si>
    <t>refer to JENIS_RESTRUKTURISASI</t>
  </si>
  <si>
    <t>refer to JENIS_NOVASI</t>
  </si>
  <si>
    <t>refer to RESTRUKTURISASI_KE</t>
  </si>
  <si>
    <t>refer to KATEGORI_LIMIT</t>
  </si>
  <si>
    <t>Numeric(30,10)</t>
  </si>
  <si>
    <t>refer to SINDIKASI_PORSI_PERCENTAGE</t>
  </si>
  <si>
    <t>Varchar(255)</t>
  </si>
  <si>
    <t>refer to MAIN CA</t>
  </si>
  <si>
    <t>refer to LATEST_CA</t>
  </si>
  <si>
    <t>refer to LINKAGE_MAIN_LIMIT</t>
  </si>
  <si>
    <t>refer to LOKASI_PROYEK</t>
  </si>
  <si>
    <t>STG_UBS_MITMS_CUSTOMER_DEFAULT</t>
  </si>
  <si>
    <t>COMP_MIS_8</t>
  </si>
  <si>
    <t>refer to C_CENT</t>
  </si>
  <si>
    <t>COMP_MIS_7</t>
  </si>
  <si>
    <t>refer to CB_LOC</t>
  </si>
  <si>
    <t>COMP_MIS_9</t>
  </si>
  <si>
    <t>ISNULL(mcd.COMP_MIS_9,'')</t>
  </si>
  <si>
    <t>refer to HS_ES</t>
  </si>
  <si>
    <t>International Standard Industrial Classification</t>
  </si>
  <si>
    <t>COMP_MIS_6</t>
  </si>
  <si>
    <t>refer to CB_ES</t>
  </si>
  <si>
    <t>refer to KREDIT_PROGRAM_BISNIS</t>
  </si>
  <si>
    <t>refer to KREDIT_PROGRAM_PEMERINTAH</t>
  </si>
  <si>
    <t>refer to KODE_SKIM_AKAD_PEMBIAYAAN</t>
  </si>
  <si>
    <t>refer to KODE_JENIS_KREDIT_PEMBIAYAAN</t>
  </si>
  <si>
    <t>refer to KOLEKTIBILITAS_BY_CONTRACT</t>
  </si>
  <si>
    <t>Initial Contract Date</t>
  </si>
  <si>
    <t>refer to TANGGAL_AKAD_AWAL</t>
  </si>
  <si>
    <t>refer to INT_RT_INFO</t>
  </si>
  <si>
    <t>FIELD_VAL_20</t>
  </si>
  <si>
    <t>refer to SIFAT_SUKU_BUNGA</t>
  </si>
  <si>
    <t>Interest Rate</t>
  </si>
  <si>
    <t>refer to SUKU_BUNGA</t>
  </si>
  <si>
    <t>Contract No</t>
  </si>
  <si>
    <t>UDF_VALUE_2</t>
  </si>
  <si>
    <t>ISNULL(gfac.udf_value_2,'')</t>
  </si>
  <si>
    <t>refer to NO_AKAD_AKHIR</t>
  </si>
  <si>
    <t>Contract Date</t>
  </si>
  <si>
    <t>refer to TANGGAL_AKAD_AKHIR</t>
  </si>
  <si>
    <t>ISNULL(gfac.LINE_EXPIRY_DATE,'')</t>
  </si>
  <si>
    <t>refer to TANGGAL_JATUH_TEMPO</t>
  </si>
  <si>
    <t>refer to MATURITY_DATE</t>
  </si>
  <si>
    <t>ISNULL(gfac.LINE_START_DATE, NULL)</t>
  </si>
  <si>
    <t>refer to LINE_START_DATE</t>
  </si>
  <si>
    <t>refer to LAST_REVAL_DATE</t>
  </si>
  <si>
    <t>refer to TANGGAL_MULAI</t>
  </si>
  <si>
    <t>refer to TANGGAL_AWAL_KREDIT</t>
  </si>
  <si>
    <t>refer to TANGGAL_RESTRUKTURISASI</t>
  </si>
  <si>
    <t>refer to TGL_RESTRUKTURISASI_AWAL</t>
  </si>
  <si>
    <t>refer to TANGGAL_NOVASI</t>
  </si>
  <si>
    <t>refer to NILAI_EKSPOR_PKE</t>
  </si>
  <si>
    <t>refer to TGL_REVIEW_NILAI_EKSPOR_PKE</t>
  </si>
  <si>
    <t>refer to REVISION_DATE</t>
  </si>
  <si>
    <t>ISNULL(gfac.udf_value_5,'')</t>
  </si>
  <si>
    <t>refer to GROUP_LIMIT</t>
  </si>
  <si>
    <t>STG_UBS_GETM_FACILITY
SUB1</t>
  </si>
  <si>
    <t>LINE_CURRENCY
MID_RATE</t>
  </si>
  <si>
    <t>CASE gfac.LINE_CURRENCY
     WHEN 'USD' THEN ROUND(rate_usd.MID_RATE, 2, 1)
     WHEN 'SGD' THEN ROUND(rate_sgd.MID_RATE, 2, 1)
     WHEN 'MYR' THEN ROUND(rate_myr.MID_RATE, 2, 1)
     WHEN 'JPY' THEN ROUND(rate_jpy.MID_RATE, 2, 1)
     WHEN 'EUR' THEN ROUND(rate_eur.MID_RATE, 2, 1)
     WHEN 'CNY' THEN ROUND(cny.MID_RATE, 2, 1)
     WHEN 'CHF' THEN ROUND(chf.MID_RATE, 2, 1)
     ELSE 1
END</t>
  </si>
  <si>
    <t xml:space="preserve">refer to RATE_FCY </t>
  </si>
  <si>
    <t>refer to REF_RATE_FLOAT</t>
  </si>
  <si>
    <t>Limit renew counter</t>
  </si>
  <si>
    <t>refer to BARU_PERPANJANGAN</t>
  </si>
  <si>
    <t>Project Amount</t>
  </si>
  <si>
    <t>Numeric(20,2)</t>
  </si>
  <si>
    <t>refer to NILAI_PROYEK</t>
  </si>
  <si>
    <t>refer to AGUNAN</t>
  </si>
  <si>
    <t>Limit status</t>
  </si>
  <si>
    <t>RECORD_STAT</t>
  </si>
  <si>
    <t>ISNULL(gfac.RECORD_STAT, ")</t>
  </si>
  <si>
    <t>Additional field based on GETM_FACILLITY</t>
  </si>
  <si>
    <t>Initial limit amount in original currency</t>
  </si>
  <si>
    <t>refer to PLAFOND INDUK</t>
  </si>
  <si>
    <t>Initial limit amount in local currency</t>
  </si>
  <si>
    <t>STG_UBS_CSTM_FUNCTION_USERDEF_FIELDS
STG_UBS_CYTM_RATES</t>
  </si>
  <si>
    <t>FIELD_VAL_21
MID_RATE</t>
  </si>
  <si>
    <t xml:space="preserve">ISNULL(cfuf.FIELD_VAL_21, 0) *
ISNULL(
    CASE gfac.LINE_CURRENCY
        WHEN 'USD' THEN rate_usd.MID_RATE
        WHEN 'SGD' THEN rate_sgd.MID_RATE
        WHEN 'MYR' THEN rate_myr.MID_RATE
        WHEN 'JPY' THEN rate_jpy.MID_RATE
        WHEN 'EUR' THEN rate_eur.MID_RATE
        WHEN 'CNY' THEN cny.MID_RATE
        WHEN 'CHF' THEN chf.MID_RATE
        ELSE 1
    END,
1)
</t>
  </si>
  <si>
    <t>PLAFOND_INDUK * mid_rate</t>
  </si>
  <si>
    <t>Limit amount in original currency</t>
  </si>
  <si>
    <t>LIMIT_AMOUNT
LINE_CURRENCY</t>
  </si>
  <si>
    <t>CASE 
    WHEN gfac.LINE_CURRENCY IN ('IDR', 'USD', 'SGD', 'MYR', 'JPY', 'EUR', 'CNY', 'CHF')  
        THEN gfac.LIMIT_AMOUNT
    ELSE 0
END</t>
  </si>
  <si>
    <t>refer to PLAFOND_IDR, PLAFOND_FCY</t>
  </si>
  <si>
    <t>Limit amount in local currency</t>
  </si>
  <si>
    <t>STG_UBS_GETM_FACILITY
STG_UBS_CYTB_RATES_HISTORY</t>
  </si>
  <si>
    <t>LIMIT_AMOUNT
LINE_CURRENCY
MID_RATE</t>
  </si>
  <si>
    <t>CASE gfac.LINE_CURRENCY
    WHEN 'USD' THEN gfac.limit_amount * ROUND(rate_usd.mid_rate, 2, 1)
    WHEN 'SGD' THEN gfac.limit_amount * ROUND(rate_sgd.mid_rate, 2, 1)
    WHEN 'MYR' THEN gfac.limit_amount * ROUND(rate_myr.mid_rate, 2, 1)
    WHEN 'JPY' THEN gfac.limit_amount * ROUND(rate_jpy.mid_rate, 2, 1)
    WHEN 'EUR' THEN gfac.limit_amount * ROUND(rate_eur.mid_rate, 2, 1)
    WHEN 'CNY' THEN gfac.limit_amount * ROUND(rate_cny.mid_rate, 2, 1)
    WHEN 'CHF' THEN gfac.limit_amount * ROUND(rate_chf.mid_rate, 2, 1)
    ELSE gfac.limit_amount
END</t>
  </si>
  <si>
    <t>refer to PLAFOND_EQV_IDR</t>
  </si>
  <si>
    <t>STG_UBS_GETM_FACILITY
STG_UBS_CYTBS_RATES_HISTORY
STG_UBS_CYTM_RATES</t>
  </si>
  <si>
    <t xml:space="preserve">CASE gfac.line_currency 
    WHEN 'USD' THEN ISNULL(G.outstanding, 0) * ISNULL(rate_usd.MID_RATE, 1)
    WHEN 'SGD' THEN ISNULL(G.outstanding, 0) * ISNULL(rate_sgd.MID_RATE, 1)
    WHEN 'MYR' THEN ISNULL(G.outstanding, 0) * ISNULL(rate_myr.MID_RATE, 1)
    WHEN 'JPY' THEN ISNULL(G.outstanding, 0) * ISNULL(rate_jpy.MID_RATE, 1)
    WHEN 'EUR' THEN ISNULL(G.outstanding, 0) * ISNULL(rate_eur.MID_RATE, 1)
    WHEN 'CNY' THEN ISNULL(G.outstanding, 0) * ISNULL(rate_cny.MID_RATE, 1)
    WHEN 'CHF' THEN ISNULL(G.outstanding, 0) * ISNULL(rate_chf.MID_RATE, 1)
    ELSE ISNULL(G.outstanding, 0)
END
</t>
  </si>
  <si>
    <t>refer to OUTSTANDING_EQV_IDR</t>
  </si>
  <si>
    <t>CASE 
        WHEN gfac.line_currency IN ('IDR', 'USD', 'MYR', 'JPY', 'EUR', 'CNY', 'CHF') 
            THEN ISNULL(G.outstanding, 0)
        ELSE 0 
    END</t>
  </si>
  <si>
    <t>OUTSTANDING_IDR / OUTSTANDING_FCY</t>
  </si>
  <si>
    <t>STG_UBS_STTM_DATES
STG_UBS_GETM_FACILITY
STG_UBS_CYTBS_RATES_HISTORY</t>
  </si>
  <si>
    <t>TODAY
BRANCH_CODE
UDF_VALUE_3
UDF_VALUE_4
LINE_CURRENCY
LIMIT_AMOUNT
MID_RATE</t>
  </si>
  <si>
    <t>CASE
    WHEN CAST(ISNULL(gfac.udf_value_3, '9999-12-31') AS DATE) &lt; dates.TODAY THEN 0
    WHEN gfac.udf_value_4 IN ('UNCOMMITTED', 'RESTRUCTURING', 'RECOVERY') THEN 0
    WHEN gfac.line_currency = 'USD' THEN (gfac.limit_amount * ROUND(rate_usd.mid_rate, 2, 1) - ISNULL(gfac.utilisation, 0) * rate_usd.mid_rate)
    WHEN gfac.line_currency = 'SGD' THEN (gfac.limit_amount * ROUND(rate_sgd.mid_rate, 2, 1) - ISNULL(gfac.utilisation, 0) * rate_sgd.mid_rate)
    WHEN gfac.line_currency = 'MYR' THEN (gfac.limit_amount * ROUND(rate_myr.mid_rate, 2, 1) - ISNULL(gfac.utilisation, 0) * rate_myr.mid_rate)
    WHEN gfac.line_currency = 'JPY' THEN (gfac.limit_amount * ROUND(rate_jpy.mid_rate, 2, 1) - ISNULL(gfac.utilisation, 0) * rate_jpy.mid_rate)
    WHEN gfac.line_currency = 'EUR' THEN (gfac.limit_amount * ROUND(rate_eur.mid_rate, 2, 1) - ISNULL(gfac.utilisation, 0) * rate_eur.mid_rate)
    WHEN gfac.line_currency = 'CNY' THEN (gfac.limit_amount * ROUND(rate_cny.mid_rate, 2, 1) - ISNULL(gfac.utilisation, 0) * rate_cny.mid_rate)
    WHEN gfac.line_currency = 'CHF' THEN (gfac.limit_amount * ROUND(rate_chf.mid_rate, 2, 1) - ISNULL(gfac.utilisation, 0) * rate_chf.mid_rate)
    ELSE 0
END</t>
  </si>
  <si>
    <t>refer to AVAILABILITY_EQV_IDR</t>
  </si>
  <si>
    <t>STG_UBS_STTM_DATES
STG_UBS_GETM_FACILITY</t>
  </si>
  <si>
    <t>TODAY
BRANCH_CODE
UDF_VALUE_3
UDF_VALUE_4
LINE_CURRENCY
LIMIT_AMOUNT
UTILISATION</t>
  </si>
  <si>
    <t>CASE
    WHEN CAST(ISNULL(gfac.udf_value_3, '9999-12-31') AS DATE) &lt; dates.TODAY THEN 0
    WHEN gfac.udf_value_4 IN ('UNCOMMITTED', 'RESTRUCTURING', 'RECOVERY') THEN 0
    WHEN gfac.line_currency IN ('IDR', 'USD', 'SGD', 'MYR', 'JPY', 'EUR', 'CNY', 'CHF') THEN (gfac.limit_amount - ISNULL(gfac.utilisation, 0))
    ELSE 0
END</t>
  </si>
  <si>
    <t xml:space="preserve">refer to AVAILABILITY_IDR &amp; AVAILABILITY_FCY </t>
  </si>
  <si>
    <t>refer to LAST_AVAILABLE_DATE</t>
  </si>
  <si>
    <t>STG_UBS_GETM_FACILITY
STG_UBS_CYTBS_RATES_HISTORY</t>
  </si>
  <si>
    <t>LINE_CURRENCY
UTILISATION
MID_RATE</t>
  </si>
  <si>
    <t>CASE gfac.line_currency
    WHEN 'USD' THEN ISNULL(gfac.utilisation, 0) * ROUND(rate_usd.mid_rate, 2, 1)
    WHEN 'SGD' THEN ISNULL(gfac.utilisation, 0) * ROUND(rate_sgd.mid_rate, 2, 1)
    WHEN 'MYR' THEN ISNULL(gfac.utilisation, 0) * ROUND(rate_myr.mid_rate, 2, 1)
    WHEN 'JPY' THEN ISNULL(gfac.utilisation, 0) * ROUND(rate_jpy.mid_rate, 2, 1)
    WHEN 'EUR' THEN ISNULL(gfac.utilisation, 0) * ROUND(rate_eur.mid_rate, 2, 1)
    WHEN 'CNY' THEN ISNULL(gfac.utilisation, 0) * ROUND(rate_cny.mid_rate, 2, 1)
    WHEN 'CHF' THEN ISNULL(gfac.utilisation, 0) * ROUND(rate_chf.mid_rate, 2, 1)
    ELSE 0
END</t>
  </si>
  <si>
    <t>refer to UTILISATION_EQV_IDR</t>
  </si>
  <si>
    <t>LINE_CURRENCY
UTILISATION</t>
  </si>
  <si>
    <t>CASE 
    WHEN gfac.line_currency IN ('IDR', 'USD', 'SGD', 'MYR', 'JPY', 'EUR', 'CNY', 'CHF') THEN ISNULL(gfac.utilisation, 0)
    ELSE 0
END</t>
  </si>
  <si>
    <t xml:space="preserve">refer to UTILISATION_IDR dan UTILISATION_FCY </t>
  </si>
  <si>
    <t>Market limit amount in original currency</t>
  </si>
  <si>
    <t>Set to default 0</t>
  </si>
  <si>
    <t xml:space="preserve">Additional field source from ACUMEN </t>
  </si>
  <si>
    <t>Realized/Disbursement availability in original currency</t>
  </si>
  <si>
    <t>Realized/Disbursement availability in local currency</t>
  </si>
  <si>
    <t>Exposure in original currency</t>
  </si>
  <si>
    <t>refer to KUMULATIF_REALISASI (l_kumulatif_realisasi := 0)</t>
  </si>
  <si>
    <t>Facility Type (Y/N)</t>
  </si>
  <si>
    <t>SET PPAP = ROUND(
  CASE COLL_STATUS
    WHEN '1' THEN LCY_BAL * 0.01
    WHEN '2' THEN LCY_BAL * 0.05
    WHEN '3' THEN LCY_BAL * 0.15
    WHEN '4' THEN LCY_BAL * 0.50
    WHEN '5' THEN LCY_BAL
    ELSE 0
  END, 0
);</t>
  </si>
  <si>
    <t>refer to PPAP</t>
  </si>
  <si>
    <t>REVOLVING_LINE</t>
  </si>
  <si>
    <t>ISNULL(gfac.REVOLVING_LINE, '')</t>
  </si>
  <si>
    <t>refer to TYPE_FACILITY</t>
  </si>
  <si>
    <t>refer to RE_ASSURANCE</t>
  </si>
  <si>
    <t>refer to LINKED_MAIN_LIMIT</t>
  </si>
  <si>
    <t>refer to MAIN_LINE</t>
  </si>
  <si>
    <t>ISNULL(gfac.MAIN_LINE_ID,'')</t>
  </si>
  <si>
    <t>'SID033'</t>
  </si>
  <si>
    <t>refer to ID_DATA</t>
  </si>
  <si>
    <t>ISNULL(gfac.ID,'')</t>
  </si>
  <si>
    <t>Additional field based on GETM_FACILLITY / refer to FACILITY_ID</t>
  </si>
  <si>
    <t>refer to GROUP_ID</t>
  </si>
  <si>
    <t>STG_UBS_MITM_CUSTOMER_DEFAULT
STG_UBS_GETM_LIAB</t>
  </si>
  <si>
    <t>COMP_MIS_8
LIAB_NO</t>
  </si>
  <si>
    <t>CONCAT(mcd.COMP_MIS_8, liab.LIAB_NO)</t>
  </si>
  <si>
    <t>refer to IDBARU</t>
  </si>
  <si>
    <t>refer to KONDISI_DEBITUR</t>
  </si>
  <si>
    <t>refer to PERMASALAHAN_DEBITUR</t>
  </si>
  <si>
    <t>refer to ASAL_DEBITUR</t>
  </si>
  <si>
    <t>refer to DISCOUNT (l_discount := 0;)</t>
  </si>
  <si>
    <t>refer to IS_SUBLIMIT (l_is_sublimit := '')</t>
  </si>
  <si>
    <t>Notes</t>
  </si>
  <si>
    <t>refer to INFO_AVAILABLE</t>
  </si>
  <si>
    <t>Varchar(100)</t>
  </si>
  <si>
    <t>FTP purposes</t>
  </si>
  <si>
    <t>refer to SIFAT_KREDIT</t>
  </si>
  <si>
    <t>refer to KONDISI</t>
  </si>
  <si>
    <t>refer to COLLECTABILITY</t>
  </si>
  <si>
    <t>refer to DIFN</t>
  </si>
  <si>
    <t>COMP_MIS_1</t>
  </si>
  <si>
    <t>refer to NIP_RM</t>
  </si>
  <si>
    <t>COMP_MIS_2</t>
  </si>
  <si>
    <t>refer to RC_CODE</t>
  </si>
  <si>
    <t>Account grade change date</t>
  </si>
  <si>
    <t>refer to TGL_KONDISI. Already available in IM_ACCT_GRADE (old).</t>
  </si>
  <si>
    <t>Overdue interest amount in original currency</t>
  </si>
  <si>
    <t>refer to TUNGG_BUNGA_INTRA. . Already available in IM_ACCT_GRADE (old).</t>
  </si>
  <si>
    <t>Overdue interest amount in local currency</t>
  </si>
  <si>
    <t>udf_value_24
mid_rate</t>
  </si>
  <si>
    <t>CASE gfac.LINE_CURRENCY
    WHEN 'USD' THEN cfuf.FIELD_VAL_24 * ROUND(rate_usd.mid_rate, 2, 1)
    WHEN 'SGD' THEN cfuf.FIELD_VAL_24 * ROUND(rate_sgd.mid_rate, 2, 1)
    WHEN 'MYR' THEN cfuf.FIELD_VAL_24 * ROUND(rate_myr.mid_rate, 2, 1)
    WHEN 'JPY' THEN cfuf.FIELD_VAL_24 * ROUND(rate_jpy.mid_rate, 2, 1)
    WHEN 'EUR' THEN cfuf.FIELD_VAL_24 * ROUND(rate_eur.mid_rate, 2, 1)
    WHEN 'CNY' THEN cfuf.FIELD_VAL_24 * ROUND(rate_cny.mid_rate, 2, 1)
    WHEN 'CHF' THEN cfuf.FIELD_VAL_24 * ROUND(rate_chf.mid_rate, 2, 1)
    ELSE 0
END</t>
  </si>
  <si>
    <t>refer to TUNGG_BUNGA_INTRA * mid_rate. . Already available in IM_ACCT_GRADE (old).</t>
  </si>
  <si>
    <t>CHAR(1)</t>
  </si>
  <si>
    <t>CASE
      WHEN gfac.MAIN_LINE_ID IS NULL THEN 'N' ELSE 'Y' END
END</t>
  </si>
  <si>
    <t>MAIN_LINE_ID
LINE_CODE
LINE_SERIAL</t>
  </si>
  <si>
    <t>CASE
      WHEN gfac.MAIN_LINE_ID IS NULL THEN NULL ELSE g2.line_code + CAST(g2.line_serial AS VARCHAR) END</t>
  </si>
  <si>
    <t>DESCRIPTION</t>
  </si>
  <si>
    <t>Varchar(2000)</t>
  </si>
  <si>
    <t>ISNULL(gfac.DESCRIPTION, '')</t>
  </si>
  <si>
    <t>BLOCK_AMT</t>
  </si>
  <si>
    <t>BLOCK_AMOUNT</t>
  </si>
  <si>
    <t>ISNULL(gfac.BLOCK_AMOUNT, 0)</t>
  </si>
  <si>
    <t>AVAIL_FLG</t>
  </si>
  <si>
    <t>Varchar(4)</t>
  </si>
  <si>
    <t>AVAILABILITY_FLAG</t>
  </si>
  <si>
    <t>ISNULL(gfac.AVAILABILITY_FLAG, '')</t>
  </si>
  <si>
    <t>INTERNAL_REMARKS</t>
  </si>
  <si>
    <t>Varchar(4000)</t>
  </si>
  <si>
    <t>ISNULL(gfac.INTERNAL_REMARKS, '')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</si>
</sst>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rgb="FF4F81BD"/>
      </top>
      <bottom style="medium">
        <color rgb="FF4F81BD"/>
      </bottom>
      <diagonal/>
    </border>
    <border>
      <left style="hair">
        <color indexed="64"/>
      </left>
      <right style="hair">
        <color indexed="64"/>
      </right>
      <top style="medium">
        <color rgb="FF4F81BD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8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7" fillId="0" borderId="0" applyNumberFormat="0" applyFill="0" applyBorder="0" applyAlignment="0" applyProtection="0"/>
    <xf numFmtId="0" fontId="1" fillId="0" borderId="0"/>
  </cellStyleXfs>
  <cellXfs count="135">
    <xf numFmtId="0" fontId="0" fillId="0" borderId="0" xfId="0"/>
    <xf numFmtId="0" fontId="4" fillId="2" borderId="0" xfId="2" applyFont="1" applyFill="1" applyAlignment="1">
      <alignment vertical="center"/>
    </xf>
    <xf numFmtId="0" fontId="11" fillId="3" borderId="1" xfId="3" applyFont="1" applyFill="1" applyBorder="1" applyAlignment="1">
      <alignment horizontal="center" vertical="center" wrapText="1"/>
    </xf>
    <xf numFmtId="0" fontId="11" fillId="4" borderId="1" xfId="5" applyFont="1" applyFill="1" applyBorder="1" applyAlignment="1">
      <alignment horizontal="center" vertical="center" wrapText="1"/>
    </xf>
    <xf numFmtId="0" fontId="1" fillId="0" borderId="0" xfId="2" applyFont="1" applyAlignment="1">
      <alignment horizontal="left" vertical="center"/>
    </xf>
    <xf numFmtId="0" fontId="1" fillId="0" borderId="0" xfId="2" applyFont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11" fillId="5" borderId="9" xfId="2" applyFont="1" applyFill="1" applyBorder="1" applyAlignment="1">
      <alignment horizontal="center" vertical="center"/>
    </xf>
    <xf numFmtId="0" fontId="11" fillId="5" borderId="10" xfId="2" applyFont="1" applyFill="1" applyBorder="1" applyAlignment="1">
      <alignment horizontal="center" vertical="center"/>
    </xf>
    <xf numFmtId="0" fontId="11" fillId="5" borderId="11" xfId="2" applyFont="1" applyFill="1" applyBorder="1" applyAlignment="1">
      <alignment horizontal="center" vertical="center" wrapText="1"/>
    </xf>
    <xf numFmtId="0" fontId="2" fillId="6" borderId="9" xfId="2" applyFont="1" applyFill="1" applyBorder="1" applyAlignment="1">
      <alignment horizontal="center" vertical="center"/>
    </xf>
    <xf numFmtId="0" fontId="2" fillId="6" borderId="10" xfId="2" applyFont="1" applyFill="1" applyBorder="1" applyAlignment="1">
      <alignment horizontal="center" vertical="center" wrapText="1"/>
    </xf>
    <xf numFmtId="0" fontId="2" fillId="6" borderId="1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" fillId="0" borderId="3" xfId="4" applyFont="1" applyBorder="1" applyAlignment="1">
      <alignment horizontal="left" vertical="center" wrapText="1"/>
    </xf>
    <xf numFmtId="0" fontId="1" fillId="0" borderId="0" xfId="4" applyFont="1" applyAlignment="1">
      <alignment horizontal="center" vertical="center"/>
    </xf>
    <xf numFmtId="0" fontId="1" fillId="0" borderId="13" xfId="4" applyFont="1" applyBorder="1" applyAlignment="1">
      <alignment horizontal="left" vertical="center"/>
    </xf>
    <xf numFmtId="0" fontId="4" fillId="0" borderId="0" xfId="2" applyFont="1" applyAlignment="1">
      <alignment vertical="center" wrapText="1"/>
    </xf>
    <xf numFmtId="0" fontId="1" fillId="0" borderId="0" xfId="2" applyFont="1" applyAlignment="1">
      <alignment vertical="center" wrapText="1"/>
    </xf>
    <xf numFmtId="0" fontId="1" fillId="0" borderId="0" xfId="2" applyFont="1" applyAlignment="1">
      <alignment vertical="center"/>
    </xf>
    <xf numFmtId="0" fontId="1" fillId="2" borderId="0" xfId="2" applyFont="1" applyFill="1" applyAlignment="1">
      <alignment vertical="center"/>
    </xf>
    <xf numFmtId="0" fontId="1" fillId="0" borderId="0" xfId="2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3" applyFont="1">
      <alignment vertical="center"/>
    </xf>
    <xf numFmtId="0" fontId="1" fillId="0" borderId="0" xfId="0" applyFont="1" applyAlignment="1">
      <alignment vertical="center" wrapText="1"/>
    </xf>
    <xf numFmtId="0" fontId="10" fillId="0" borderId="0" xfId="4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4" applyFont="1" applyBorder="1" applyAlignment="1">
      <alignment horizontal="center" vertical="center"/>
    </xf>
    <xf numFmtId="0" fontId="1" fillId="0" borderId="0" xfId="4" applyFont="1" applyAlignment="1">
      <alignment vertical="center"/>
    </xf>
    <xf numFmtId="0" fontId="10" fillId="0" borderId="3" xfId="4" applyFont="1" applyBorder="1" applyAlignment="1">
      <alignment horizontal="center" vertical="center"/>
    </xf>
    <xf numFmtId="0" fontId="10" fillId="0" borderId="3" xfId="4" applyFont="1" applyBorder="1" applyAlignment="1">
      <alignment horizontal="left" vertical="center"/>
    </xf>
    <xf numFmtId="0" fontId="10" fillId="0" borderId="4" xfId="4" applyFont="1" applyBorder="1" applyAlignment="1">
      <alignment horizontal="center" vertical="center"/>
    </xf>
    <xf numFmtId="0" fontId="1" fillId="0" borderId="5" xfId="4" applyFont="1" applyBorder="1" applyAlignment="1">
      <alignment horizontal="left" vertical="center" wrapText="1"/>
    </xf>
    <xf numFmtId="0" fontId="10" fillId="0" borderId="0" xfId="4" applyFont="1" applyAlignment="1">
      <alignment horizontal="center" vertical="center"/>
    </xf>
    <xf numFmtId="0" fontId="1" fillId="0" borderId="0" xfId="4" applyFont="1" applyAlignment="1">
      <alignment horizontal="left" vertical="center" wrapText="1"/>
    </xf>
    <xf numFmtId="0" fontId="10" fillId="0" borderId="14" xfId="7" applyFont="1" applyBorder="1" applyAlignment="1">
      <alignment horizontal="left" vertical="center" wrapText="1"/>
    </xf>
    <xf numFmtId="0" fontId="10" fillId="0" borderId="15" xfId="2" applyFont="1" applyBorder="1" applyAlignment="1">
      <alignment horizontal="left" vertical="center" wrapText="1"/>
    </xf>
    <xf numFmtId="0" fontId="0" fillId="0" borderId="16" xfId="2" applyFont="1" applyBorder="1" applyAlignment="1">
      <alignment horizontal="left" vertical="center" wrapTex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left" vertical="center"/>
    </xf>
    <xf numFmtId="0" fontId="1" fillId="0" borderId="15" xfId="2" applyFont="1" applyBorder="1" applyAlignment="1">
      <alignment horizontal="left" vertical="center" wrapText="1"/>
    </xf>
    <xf numFmtId="0" fontId="0" fillId="0" borderId="17" xfId="2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0" fillId="0" borderId="3" xfId="4" quotePrefix="1" applyFont="1" applyBorder="1" applyAlignment="1">
      <alignment horizontal="left" vertical="center"/>
    </xf>
    <xf numFmtId="0" fontId="1" fillId="0" borderId="0" xfId="2" quotePrefix="1" applyFont="1" applyAlignment="1">
      <alignment vertical="center"/>
    </xf>
    <xf numFmtId="0" fontId="1" fillId="0" borderId="18" xfId="2" applyFont="1" applyBorder="1" applyAlignment="1">
      <alignment horizontal="left" vertical="center"/>
    </xf>
    <xf numFmtId="0" fontId="1" fillId="0" borderId="18" xfId="2" applyFont="1" applyBorder="1" applyAlignment="1">
      <alignment horizontal="left" vertical="center" wrapText="1"/>
    </xf>
    <xf numFmtId="0" fontId="1" fillId="0" borderId="20" xfId="7" applyBorder="1" applyAlignment="1">
      <alignment horizontal="left" vertical="top" wrapText="1"/>
    </xf>
    <xf numFmtId="0" fontId="0" fillId="0" borderId="18" xfId="0" applyBorder="1" applyAlignment="1">
      <alignment vertical="center" wrapText="1"/>
    </xf>
    <xf numFmtId="0" fontId="1" fillId="0" borderId="21" xfId="2" applyFont="1" applyBorder="1" applyAlignment="1">
      <alignment vertical="center"/>
    </xf>
    <xf numFmtId="0" fontId="1" fillId="7" borderId="0" xfId="2" applyFont="1" applyFill="1" applyAlignment="1">
      <alignment vertical="center"/>
    </xf>
    <xf numFmtId="0" fontId="4" fillId="5" borderId="0" xfId="2" applyFont="1" applyFill="1" applyAlignment="1">
      <alignment horizontal="left" vertical="center"/>
    </xf>
    <xf numFmtId="0" fontId="1" fillId="0" borderId="18" xfId="2" applyFont="1" applyBorder="1" applyAlignment="1">
      <alignment horizontal="center" vertical="center"/>
    </xf>
    <xf numFmtId="0" fontId="1" fillId="0" borderId="18" xfId="2" applyFont="1" applyBorder="1" applyAlignment="1">
      <alignment horizontal="left" vertical="top" wrapText="1"/>
    </xf>
    <xf numFmtId="0" fontId="0" fillId="0" borderId="19" xfId="2" applyFont="1" applyBorder="1" applyAlignment="1">
      <alignment horizontal="left" vertical="center" wrapText="1"/>
    </xf>
    <xf numFmtId="0" fontId="1" fillId="0" borderId="19" xfId="2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2" applyFont="1" applyAlignment="1">
      <alignment vertical="center"/>
    </xf>
    <xf numFmtId="0" fontId="4" fillId="0" borderId="22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/>
    </xf>
    <xf numFmtId="0" fontId="0" fillId="0" borderId="22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 wrapText="1"/>
    </xf>
    <xf numFmtId="0" fontId="0" fillId="0" borderId="22" xfId="2" applyFont="1" applyBorder="1" applyAlignment="1">
      <alignment horizontal="left" vertical="center"/>
    </xf>
    <xf numFmtId="0" fontId="1" fillId="0" borderId="22" xfId="2" applyFont="1" applyBorder="1" applyAlignment="1">
      <alignment vertical="center"/>
    </xf>
    <xf numFmtId="0" fontId="0" fillId="0" borderId="22" xfId="2" applyFont="1" applyBorder="1" applyAlignment="1">
      <alignment vertical="center" wrapText="1"/>
    </xf>
    <xf numFmtId="0" fontId="0" fillId="0" borderId="22" xfId="2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0" fillId="0" borderId="23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 wrapText="1"/>
    </xf>
    <xf numFmtId="0" fontId="0" fillId="0" borderId="23" xfId="2" applyFont="1" applyBorder="1" applyAlignment="1">
      <alignment vertical="center" wrapText="1"/>
    </xf>
    <xf numFmtId="0" fontId="1" fillId="0" borderId="23" xfId="2" applyFont="1" applyBorder="1" applyAlignment="1">
      <alignment vertical="center"/>
    </xf>
    <xf numFmtId="0" fontId="1" fillId="7" borderId="22" xfId="2" applyFont="1" applyFill="1" applyBorder="1" applyAlignment="1">
      <alignment horizontal="center" vertical="center"/>
    </xf>
    <xf numFmtId="0" fontId="0" fillId="7" borderId="22" xfId="2" applyFont="1" applyFill="1" applyBorder="1" applyAlignment="1">
      <alignment horizontal="center" vertical="center"/>
    </xf>
    <xf numFmtId="0" fontId="1" fillId="7" borderId="22" xfId="2" applyFont="1" applyFill="1" applyBorder="1" applyAlignment="1">
      <alignment horizontal="center" vertical="center" wrapText="1"/>
    </xf>
    <xf numFmtId="0" fontId="0" fillId="7" borderId="22" xfId="2" applyFont="1" applyFill="1" applyBorder="1" applyAlignment="1">
      <alignment horizontal="left" vertical="center"/>
    </xf>
    <xf numFmtId="0" fontId="1" fillId="7" borderId="22" xfId="2" applyFont="1" applyFill="1" applyBorder="1" applyAlignment="1">
      <alignment vertical="center"/>
    </xf>
    <xf numFmtId="0" fontId="0" fillId="7" borderId="22" xfId="2" applyFont="1" applyFill="1" applyBorder="1" applyAlignment="1">
      <alignment vertical="center" wrapText="1"/>
    </xf>
    <xf numFmtId="0" fontId="1" fillId="7" borderId="22" xfId="2" applyFont="1" applyFill="1" applyBorder="1" applyAlignment="1">
      <alignment vertical="center" wrapText="1"/>
    </xf>
    <xf numFmtId="0" fontId="1" fillId="0" borderId="24" xfId="2" applyFont="1" applyBorder="1" applyAlignment="1">
      <alignment horizontal="center" vertical="center"/>
    </xf>
    <xf numFmtId="0" fontId="1" fillId="0" borderId="22" xfId="2" applyFont="1" applyBorder="1" applyAlignment="1">
      <alignment horizontal="left" vertical="center"/>
    </xf>
    <xf numFmtId="0" fontId="1" fillId="0" borderId="22" xfId="2" applyFont="1" applyBorder="1" applyAlignment="1">
      <alignment horizontal="left" vertical="center" wrapText="1"/>
    </xf>
    <xf numFmtId="0" fontId="1" fillId="0" borderId="25" xfId="2" applyFont="1" applyBorder="1" applyAlignment="1">
      <alignment horizontal="left" vertical="center" wrapText="1"/>
    </xf>
    <xf numFmtId="0" fontId="1" fillId="0" borderId="24" xfId="7" applyBorder="1" applyAlignment="1">
      <alignment horizontal="left" vertical="center" wrapText="1"/>
    </xf>
    <xf numFmtId="0" fontId="1" fillId="0" borderId="22" xfId="2" quotePrefix="1" applyFont="1" applyBorder="1" applyAlignment="1">
      <alignment horizontal="left" vertical="center"/>
    </xf>
    <xf numFmtId="0" fontId="13" fillId="0" borderId="22" xfId="2" quotePrefix="1" applyFont="1" applyBorder="1" applyAlignment="1">
      <alignment vertical="center"/>
    </xf>
    <xf numFmtId="0" fontId="13" fillId="0" borderId="25" xfId="2" applyFont="1" applyBorder="1" applyAlignment="1">
      <alignment horizontal="left" vertical="center" wrapText="1"/>
    </xf>
    <xf numFmtId="0" fontId="0" fillId="0" borderId="25" xfId="2" applyFont="1" applyBorder="1" applyAlignment="1">
      <alignment horizontal="left" vertical="center" wrapText="1"/>
    </xf>
    <xf numFmtId="0" fontId="1" fillId="0" borderId="22" xfId="2" quotePrefix="1" applyFont="1" applyBorder="1" applyAlignment="1">
      <alignment horizontal="left" vertical="center" wrapText="1"/>
    </xf>
    <xf numFmtId="0" fontId="1" fillId="0" borderId="22" xfId="2" applyFont="1" applyBorder="1" applyAlignment="1">
      <alignment horizontal="left" vertical="top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1" fillId="0" borderId="24" xfId="7" applyBorder="1" applyAlignment="1">
      <alignment horizontal="left" vertical="top" wrapText="1"/>
    </xf>
    <xf numFmtId="0" fontId="1" fillId="0" borderId="22" xfId="2" applyFont="1" applyBorder="1" applyAlignment="1">
      <alignment horizontal="left" vertical="top" wrapText="1"/>
    </xf>
    <xf numFmtId="0" fontId="1" fillId="0" borderId="22" xfId="2" quotePrefix="1" applyFont="1" applyBorder="1" applyAlignment="1">
      <alignment horizontal="left" vertical="top" wrapText="1"/>
    </xf>
    <xf numFmtId="9" fontId="0" fillId="0" borderId="25" xfId="2" applyNumberFormat="1" applyFont="1" applyBorder="1" applyAlignment="1">
      <alignment horizontal="left" vertical="center" wrapText="1"/>
    </xf>
    <xf numFmtId="0" fontId="0" fillId="0" borderId="22" xfId="2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26" xfId="2" applyFont="1" applyBorder="1" applyAlignment="1">
      <alignment horizontal="center" vertical="center"/>
    </xf>
    <xf numFmtId="0" fontId="1" fillId="0" borderId="25" xfId="2" applyFont="1" applyBorder="1" applyAlignment="1">
      <alignment horizontal="left" vertical="center"/>
    </xf>
    <xf numFmtId="0" fontId="1" fillId="0" borderId="23" xfId="2" applyFont="1" applyBorder="1" applyAlignment="1">
      <alignment horizontal="left" vertical="center"/>
    </xf>
    <xf numFmtId="0" fontId="1" fillId="0" borderId="26" xfId="2" applyFont="1" applyBorder="1" applyAlignment="1">
      <alignment horizontal="left" vertical="center" wrapText="1"/>
    </xf>
    <xf numFmtId="0" fontId="0" fillId="0" borderId="25" xfId="2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 wrapText="1"/>
    </xf>
    <xf numFmtId="0" fontId="10" fillId="0" borderId="24" xfId="7" applyFont="1" applyBorder="1" applyAlignment="1">
      <alignment horizontal="left" vertical="center" wrapText="1"/>
    </xf>
    <xf numFmtId="0" fontId="0" fillId="0" borderId="22" xfId="2" applyFont="1" applyBorder="1" applyAlignment="1">
      <alignment horizontal="left" vertical="top" wrapText="1"/>
    </xf>
    <xf numFmtId="0" fontId="10" fillId="0" borderId="25" xfId="2" applyFont="1" applyBorder="1" applyAlignment="1">
      <alignment horizontal="left" vertical="center" wrapText="1"/>
    </xf>
    <xf numFmtId="0" fontId="0" fillId="0" borderId="22" xfId="2" quotePrefix="1" applyFont="1" applyBorder="1" applyAlignment="1">
      <alignment horizontal="left" vertical="center" wrapText="1"/>
    </xf>
    <xf numFmtId="0" fontId="10" fillId="0" borderId="22" xfId="2" applyFont="1" applyBorder="1" applyAlignment="1">
      <alignment horizontal="left" vertical="center" wrapText="1"/>
    </xf>
    <xf numFmtId="0" fontId="3" fillId="0" borderId="25" xfId="2" applyFont="1" applyBorder="1" applyAlignment="1">
      <alignment horizontal="left" vertical="center" wrapText="1"/>
    </xf>
    <xf numFmtId="0" fontId="1" fillId="7" borderId="24" xfId="2" applyFont="1" applyFill="1" applyBorder="1" applyAlignment="1">
      <alignment horizontal="center" vertical="center"/>
    </xf>
    <xf numFmtId="0" fontId="1" fillId="7" borderId="22" xfId="2" applyFont="1" applyFill="1" applyBorder="1" applyAlignment="1">
      <alignment horizontal="left" vertical="center"/>
    </xf>
    <xf numFmtId="0" fontId="1" fillId="7" borderId="22" xfId="2" applyFont="1" applyFill="1" applyBorder="1" applyAlignment="1">
      <alignment horizontal="left" vertical="center" wrapText="1"/>
    </xf>
    <xf numFmtId="0" fontId="0" fillId="7" borderId="25" xfId="2" applyFont="1" applyFill="1" applyBorder="1" applyAlignment="1">
      <alignment horizontal="left" vertical="center" wrapText="1"/>
    </xf>
    <xf numFmtId="0" fontId="1" fillId="7" borderId="24" xfId="7" applyFill="1" applyBorder="1" applyAlignment="1">
      <alignment horizontal="left" vertical="center" wrapText="1"/>
    </xf>
    <xf numFmtId="0" fontId="1" fillId="7" borderId="22" xfId="2" quotePrefix="1" applyFont="1" applyFill="1" applyBorder="1" applyAlignment="1">
      <alignment horizontal="left" vertical="center"/>
    </xf>
    <xf numFmtId="0" fontId="10" fillId="7" borderId="22" xfId="2" applyFont="1" applyFill="1" applyBorder="1" applyAlignment="1">
      <alignment horizontal="left" vertical="center"/>
    </xf>
    <xf numFmtId="0" fontId="3" fillId="7" borderId="25" xfId="2" applyFont="1" applyFill="1" applyBorder="1" applyAlignment="1">
      <alignment horizontal="left" vertical="center" wrapText="1"/>
    </xf>
    <xf numFmtId="0" fontId="0" fillId="7" borderId="22" xfId="2" applyFont="1" applyFill="1" applyBorder="1" applyAlignment="1">
      <alignment horizontal="left" vertical="center" wrapText="1"/>
    </xf>
    <xf numFmtId="0" fontId="1" fillId="7" borderId="25" xfId="2" applyFont="1" applyFill="1" applyBorder="1" applyAlignment="1">
      <alignment horizontal="left" vertical="center" wrapText="1"/>
    </xf>
    <xf numFmtId="0" fontId="3" fillId="0" borderId="24" xfId="2" applyFont="1" applyBorder="1" applyAlignment="1">
      <alignment horizontal="center" vertical="center"/>
    </xf>
    <xf numFmtId="0" fontId="3" fillId="0" borderId="22" xfId="2" applyFont="1" applyBorder="1" applyAlignment="1">
      <alignment horizontal="left" vertical="center" wrapText="1"/>
    </xf>
    <xf numFmtId="0" fontId="3" fillId="0" borderId="24" xfId="7" applyFont="1" applyBorder="1" applyAlignment="1">
      <alignment horizontal="left" vertical="center" wrapText="1"/>
    </xf>
    <xf numFmtId="0" fontId="3" fillId="0" borderId="22" xfId="2" applyFont="1" applyBorder="1" applyAlignment="1">
      <alignment horizontal="left" vertical="top" wrapText="1"/>
    </xf>
    <xf numFmtId="0" fontId="3" fillId="0" borderId="22" xfId="2" applyFont="1" applyBorder="1" applyAlignment="1">
      <alignment horizontal="left" vertical="center"/>
    </xf>
    <xf numFmtId="0" fontId="3" fillId="0" borderId="22" xfId="2" applyFont="1" applyBorder="1" applyAlignment="1">
      <alignment horizontal="center" vertical="center"/>
    </xf>
    <xf numFmtId="0" fontId="10" fillId="0" borderId="22" xfId="2" applyFont="1" applyBorder="1" applyAlignment="1">
      <alignment horizontal="left" vertical="center"/>
    </xf>
    <xf numFmtId="0" fontId="12" fillId="0" borderId="25" xfId="2" applyFont="1" applyBorder="1" applyAlignment="1">
      <alignment horizontal="left" vertical="center" wrapText="1"/>
    </xf>
    <xf numFmtId="0" fontId="11" fillId="5" borderId="6" xfId="2" applyFont="1" applyFill="1" applyBorder="1" applyAlignment="1">
      <alignment horizontal="center" vertical="center"/>
    </xf>
    <xf numFmtId="0" fontId="11" fillId="5" borderId="7" xfId="2" applyFont="1" applyFill="1" applyBorder="1" applyAlignment="1">
      <alignment horizontal="center" vertical="center"/>
    </xf>
    <xf numFmtId="0" fontId="11" fillId="5" borderId="8" xfId="2" applyFont="1" applyFill="1" applyBorder="1" applyAlignment="1">
      <alignment horizontal="center" vertical="center"/>
    </xf>
    <xf numFmtId="0" fontId="2" fillId="6" borderId="6" xfId="2" applyFont="1" applyFill="1" applyBorder="1" applyAlignment="1">
      <alignment horizontal="center" vertical="center" wrapText="1"/>
    </xf>
    <xf numFmtId="0" fontId="2" fillId="6" borderId="7" xfId="2" applyFont="1" applyFill="1" applyBorder="1" applyAlignment="1">
      <alignment horizontal="center" vertical="center" wrapText="1"/>
    </xf>
    <xf numFmtId="0" fontId="2" fillId="6" borderId="8" xfId="2" applyFont="1" applyFill="1" applyBorder="1" applyAlignment="1">
      <alignment horizontal="center" vertical="center" wrapText="1"/>
    </xf>
  </cellXfs>
  <cellStyles count="8">
    <cellStyle name="Hyperlink 2" xfId="6" xr:uid="{077E621A-BB80-43F2-B19F-ACB0FD3F4D14}"/>
    <cellStyle name="Normal" xfId="0" builtinId="0"/>
    <cellStyle name="Normal 105" xfId="4" xr:uid="{B22795FD-2619-482D-AE64-80990F2F4F31}"/>
    <cellStyle name="Normal 14" xfId="7" xr:uid="{5900795A-A8A2-4936-87FC-7FCAA466A136}"/>
    <cellStyle name="Normal 2" xfId="1" xr:uid="{03D0D4D6-DBEB-4406-8FF1-BCACCC00C4C5}"/>
    <cellStyle name="Normal 4" xfId="2" xr:uid="{5F009E96-10EC-4AF3-84F7-C3F8BC6D56F6}"/>
    <cellStyle name="Normal 82" xfId="3" xr:uid="{4D23F3E4-DB67-4973-9571-B95BFBF59537}"/>
    <cellStyle name="Normal 83" xfId="5" xr:uid="{F9E43A77-E1AE-4F6F-B071-E8DEFD6A14FC}"/>
  </cellStyles>
  <dxfs count="0"/>
  <tableStyles count="0" defaultTableStyle="TableStyleMedium2" defaultPivotStyle="PivotStyleLight16"/>
  <colors>
    <mruColors>
      <color rgb="FFF49A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865D-2C73-4279-9CEB-CCE16C968B3D}">
  <dimension ref="A1:J209"/>
  <sheetViews>
    <sheetView showGridLines="0" tabSelected="1" topLeftCell="A35" zoomScale="59" zoomScaleNormal="85" workbookViewId="0">
      <selection activeCell="G41" sqref="G41"/>
    </sheetView>
  </sheetViews>
  <sheetFormatPr defaultColWidth="8.88671875" defaultRowHeight="14.4"/>
  <cols>
    <col min="1" max="1" width="7.44140625" style="22" customWidth="1"/>
    <col min="2" max="2" width="25.5546875" style="20" customWidth="1"/>
    <col min="3" max="3" width="45.5546875" style="19" customWidth="1"/>
    <col min="4" max="4" width="15.5546875" style="19" customWidth="1"/>
    <col min="5" max="5" width="45.5546875" style="19" customWidth="1"/>
    <col min="6" max="6" width="25.5546875" style="20" customWidth="1"/>
    <col min="7" max="7" width="85.5546875" style="20" customWidth="1"/>
    <col min="8" max="8" width="31.44140625" style="20" bestFit="1" customWidth="1"/>
    <col min="9" max="9" width="8.88671875" style="20"/>
    <col min="10" max="10" width="37.109375" style="20" bestFit="1" customWidth="1"/>
    <col min="11" max="16384" width="8.88671875" style="20"/>
  </cols>
  <sheetData>
    <row r="1" spans="1:8">
      <c r="A1" s="52" t="s">
        <v>189</v>
      </c>
      <c r="B1" s="52"/>
      <c r="C1" s="18"/>
    </row>
    <row r="3" spans="1:8">
      <c r="A3" s="1" t="s">
        <v>190</v>
      </c>
      <c r="B3" s="21"/>
      <c r="H3" s="19"/>
    </row>
    <row r="4" spans="1:8">
      <c r="A4" s="59" t="s">
        <v>191</v>
      </c>
      <c r="B4" s="59" t="s">
        <v>192</v>
      </c>
      <c r="C4" s="59" t="s">
        <v>193</v>
      </c>
      <c r="D4" s="59" t="s">
        <v>194</v>
      </c>
      <c r="E4" s="59" t="s">
        <v>195</v>
      </c>
      <c r="F4" s="60" t="s">
        <v>196</v>
      </c>
      <c r="G4" s="60" t="s">
        <v>197</v>
      </c>
      <c r="H4" s="60" t="s">
        <v>0</v>
      </c>
    </row>
    <row r="5" spans="1:8">
      <c r="A5" s="61">
        <v>1</v>
      </c>
      <c r="B5" s="62" t="s">
        <v>198</v>
      </c>
      <c r="C5" s="62" t="s">
        <v>199</v>
      </c>
      <c r="D5" s="62" t="s">
        <v>200</v>
      </c>
      <c r="E5" s="62" t="s">
        <v>201</v>
      </c>
      <c r="F5" s="63" t="s">
        <v>1</v>
      </c>
      <c r="G5" s="64" t="s">
        <v>199</v>
      </c>
      <c r="H5" s="65"/>
    </row>
    <row r="6" spans="1:8">
      <c r="A6" s="61">
        <v>2</v>
      </c>
      <c r="B6" s="62" t="s">
        <v>198</v>
      </c>
      <c r="C6" s="62" t="s">
        <v>202</v>
      </c>
      <c r="D6" s="62" t="s">
        <v>200</v>
      </c>
      <c r="E6" s="62" t="s">
        <v>203</v>
      </c>
      <c r="F6" s="63" t="s">
        <v>204</v>
      </c>
      <c r="G6" s="66" t="s">
        <v>202</v>
      </c>
      <c r="H6" s="65"/>
    </row>
    <row r="7" spans="1:8">
      <c r="A7" s="61"/>
      <c r="B7" s="62"/>
      <c r="C7" s="62"/>
      <c r="D7" s="62"/>
      <c r="E7" s="62"/>
      <c r="F7" s="63" t="s">
        <v>205</v>
      </c>
      <c r="G7" s="66" t="s">
        <v>206</v>
      </c>
      <c r="H7" s="66"/>
    </row>
    <row r="8" spans="1:8">
      <c r="A8" s="61"/>
      <c r="B8" s="62"/>
      <c r="C8" s="62"/>
      <c r="D8" s="62"/>
      <c r="E8" s="62"/>
      <c r="F8" s="63" t="s">
        <v>207</v>
      </c>
      <c r="G8" s="66" t="s">
        <v>208</v>
      </c>
      <c r="H8" s="66"/>
    </row>
    <row r="9" spans="1:8" ht="86.4">
      <c r="A9" s="61">
        <v>3</v>
      </c>
      <c r="B9" s="62" t="s">
        <v>209</v>
      </c>
      <c r="C9" s="67" t="s">
        <v>210</v>
      </c>
      <c r="D9" s="62" t="s">
        <v>200</v>
      </c>
      <c r="E9" s="62" t="s">
        <v>211</v>
      </c>
      <c r="F9" s="63" t="s">
        <v>204</v>
      </c>
      <c r="G9" s="66" t="s">
        <v>212</v>
      </c>
      <c r="H9" s="66"/>
    </row>
    <row r="10" spans="1:8">
      <c r="A10" s="61"/>
      <c r="B10" s="62"/>
      <c r="C10" s="62"/>
      <c r="D10" s="62"/>
      <c r="E10" s="62"/>
      <c r="F10" s="63" t="s">
        <v>205</v>
      </c>
      <c r="G10" s="66" t="s">
        <v>213</v>
      </c>
      <c r="H10" s="66"/>
    </row>
    <row r="11" spans="1:8">
      <c r="A11" s="61"/>
      <c r="B11" s="62"/>
      <c r="C11" s="62"/>
      <c r="D11" s="62"/>
      <c r="E11" s="62"/>
      <c r="F11" s="63" t="s">
        <v>207</v>
      </c>
      <c r="G11" s="66" t="s">
        <v>214</v>
      </c>
      <c r="H11" s="66"/>
    </row>
    <row r="12" spans="1:8">
      <c r="A12" s="61"/>
      <c r="B12" s="62"/>
      <c r="C12" s="62"/>
      <c r="D12" s="62"/>
      <c r="E12" s="62"/>
      <c r="F12" s="63" t="s">
        <v>207</v>
      </c>
      <c r="G12" s="66" t="s">
        <v>215</v>
      </c>
      <c r="H12" s="66"/>
    </row>
    <row r="13" spans="1:8">
      <c r="A13" s="61">
        <v>4</v>
      </c>
      <c r="B13" s="62" t="s">
        <v>209</v>
      </c>
      <c r="C13" s="62" t="s">
        <v>216</v>
      </c>
      <c r="D13" s="62" t="s">
        <v>200</v>
      </c>
      <c r="E13" s="62" t="s">
        <v>217</v>
      </c>
      <c r="F13" s="63" t="s">
        <v>204</v>
      </c>
      <c r="G13" s="64" t="s">
        <v>216</v>
      </c>
      <c r="H13" s="66"/>
    </row>
    <row r="14" spans="1:8">
      <c r="A14" s="61"/>
      <c r="B14" s="62"/>
      <c r="C14" s="62"/>
      <c r="D14" s="62"/>
      <c r="E14" s="62"/>
      <c r="F14" s="63" t="s">
        <v>205</v>
      </c>
      <c r="G14" s="66" t="s">
        <v>218</v>
      </c>
      <c r="H14" s="66"/>
    </row>
    <row r="15" spans="1:8">
      <c r="A15" s="61"/>
      <c r="B15" s="62"/>
      <c r="C15" s="62"/>
      <c r="D15" s="62"/>
      <c r="E15" s="62"/>
      <c r="F15" s="63" t="s">
        <v>207</v>
      </c>
      <c r="G15" s="66" t="s">
        <v>219</v>
      </c>
      <c r="H15" s="66"/>
    </row>
    <row r="16" spans="1:8">
      <c r="A16" s="61">
        <v>5</v>
      </c>
      <c r="B16" s="62" t="s">
        <v>209</v>
      </c>
      <c r="C16" s="62" t="s">
        <v>220</v>
      </c>
      <c r="D16" s="62" t="s">
        <v>200</v>
      </c>
      <c r="E16" s="62" t="s">
        <v>221</v>
      </c>
      <c r="F16" s="63" t="s">
        <v>204</v>
      </c>
      <c r="G16" s="66" t="s">
        <v>222</v>
      </c>
      <c r="H16" s="66"/>
    </row>
    <row r="17" spans="1:8">
      <c r="A17" s="61"/>
      <c r="B17" s="62"/>
      <c r="C17" s="62"/>
      <c r="D17" s="62"/>
      <c r="E17" s="62"/>
      <c r="F17" s="63" t="s">
        <v>205</v>
      </c>
      <c r="G17" s="66" t="s">
        <v>223</v>
      </c>
      <c r="H17" s="66"/>
    </row>
    <row r="18" spans="1:8">
      <c r="A18" s="61">
        <v>6</v>
      </c>
      <c r="B18" s="62" t="s">
        <v>198</v>
      </c>
      <c r="C18" s="62" t="s">
        <v>224</v>
      </c>
      <c r="D18" s="62" t="s">
        <v>200</v>
      </c>
      <c r="E18" s="62" t="s">
        <v>225</v>
      </c>
      <c r="F18" s="63" t="s">
        <v>204</v>
      </c>
      <c r="G18" s="66" t="s">
        <v>224</v>
      </c>
      <c r="H18" s="66"/>
    </row>
    <row r="19" spans="1:8">
      <c r="A19" s="61"/>
      <c r="B19" s="62"/>
      <c r="C19" s="62"/>
      <c r="D19" s="62"/>
      <c r="E19" s="62"/>
      <c r="F19" s="63" t="s">
        <v>205</v>
      </c>
      <c r="G19" s="66" t="s">
        <v>226</v>
      </c>
      <c r="H19" s="66"/>
    </row>
    <row r="20" spans="1:8">
      <c r="A20" s="61"/>
      <c r="B20" s="62"/>
      <c r="C20" s="62"/>
      <c r="D20" s="62"/>
      <c r="E20" s="62"/>
      <c r="F20" s="63" t="s">
        <v>207</v>
      </c>
      <c r="G20" s="66" t="s">
        <v>227</v>
      </c>
      <c r="H20" s="66"/>
    </row>
    <row r="21" spans="1:8">
      <c r="A21" s="61">
        <v>7</v>
      </c>
      <c r="B21" s="62" t="s">
        <v>198</v>
      </c>
      <c r="C21" s="62" t="s">
        <v>228</v>
      </c>
      <c r="D21" s="62" t="s">
        <v>200</v>
      </c>
      <c r="E21" s="62" t="s">
        <v>229</v>
      </c>
      <c r="F21" s="63" t="s">
        <v>204</v>
      </c>
      <c r="G21" s="66" t="s">
        <v>228</v>
      </c>
      <c r="H21" s="66"/>
    </row>
    <row r="22" spans="1:8">
      <c r="A22" s="61"/>
      <c r="B22" s="62"/>
      <c r="C22" s="62"/>
      <c r="D22" s="62"/>
      <c r="E22" s="62"/>
      <c r="F22" s="63" t="s">
        <v>205</v>
      </c>
      <c r="G22" s="66" t="s">
        <v>230</v>
      </c>
      <c r="H22" s="66"/>
    </row>
    <row r="23" spans="1:8">
      <c r="A23" s="61"/>
      <c r="B23" s="62"/>
      <c r="C23" s="62"/>
      <c r="D23" s="62"/>
      <c r="E23" s="62"/>
      <c r="F23" s="63" t="s">
        <v>207</v>
      </c>
      <c r="G23" s="66" t="s">
        <v>231</v>
      </c>
      <c r="H23" s="66"/>
    </row>
    <row r="24" spans="1:8">
      <c r="A24" s="61"/>
      <c r="B24" s="62"/>
      <c r="C24" s="62"/>
      <c r="D24" s="62"/>
      <c r="E24" s="62"/>
      <c r="F24" s="63" t="s">
        <v>207</v>
      </c>
      <c r="G24" s="66" t="s">
        <v>232</v>
      </c>
      <c r="H24" s="66"/>
    </row>
    <row r="25" spans="1:8">
      <c r="A25" s="61">
        <v>8</v>
      </c>
      <c r="B25" s="62" t="s">
        <v>198</v>
      </c>
      <c r="C25" s="62" t="s">
        <v>228</v>
      </c>
      <c r="D25" s="62" t="s">
        <v>200</v>
      </c>
      <c r="E25" s="62" t="s">
        <v>233</v>
      </c>
      <c r="F25" s="63" t="s">
        <v>204</v>
      </c>
      <c r="G25" s="66" t="s">
        <v>228</v>
      </c>
      <c r="H25" s="66"/>
    </row>
    <row r="26" spans="1:8">
      <c r="A26" s="61"/>
      <c r="B26" s="62"/>
      <c r="C26" s="62"/>
      <c r="D26" s="62"/>
      <c r="E26" s="62"/>
      <c r="F26" s="63" t="s">
        <v>205</v>
      </c>
      <c r="G26" s="66" t="s">
        <v>234</v>
      </c>
      <c r="H26" s="66"/>
    </row>
    <row r="27" spans="1:8">
      <c r="A27" s="61"/>
      <c r="B27" s="62"/>
      <c r="C27" s="62"/>
      <c r="D27" s="62"/>
      <c r="E27" s="62"/>
      <c r="F27" s="63" t="s">
        <v>207</v>
      </c>
      <c r="G27" s="66" t="s">
        <v>235</v>
      </c>
      <c r="H27" s="66"/>
    </row>
    <row r="28" spans="1:8">
      <c r="A28" s="61"/>
      <c r="B28" s="62"/>
      <c r="C28" s="62"/>
      <c r="D28" s="62"/>
      <c r="E28" s="62"/>
      <c r="F28" s="63" t="s">
        <v>207</v>
      </c>
      <c r="G28" s="66" t="s">
        <v>236</v>
      </c>
      <c r="H28" s="66"/>
    </row>
    <row r="29" spans="1:8" ht="115.2">
      <c r="A29" s="61">
        <v>9</v>
      </c>
      <c r="B29" s="62" t="s">
        <v>198</v>
      </c>
      <c r="C29" s="62" t="s">
        <v>237</v>
      </c>
      <c r="D29" s="62" t="s">
        <v>200</v>
      </c>
      <c r="E29" s="62" t="s">
        <v>238</v>
      </c>
      <c r="F29" s="63" t="s">
        <v>204</v>
      </c>
      <c r="G29" s="66" t="s">
        <v>239</v>
      </c>
      <c r="H29" s="66"/>
    </row>
    <row r="30" spans="1:8">
      <c r="A30" s="61"/>
      <c r="B30" s="62"/>
      <c r="C30" s="62"/>
      <c r="D30" s="62"/>
      <c r="E30" s="62"/>
      <c r="F30" s="63" t="s">
        <v>205</v>
      </c>
      <c r="G30" s="66" t="s">
        <v>240</v>
      </c>
      <c r="H30" s="66"/>
    </row>
    <row r="31" spans="1:8">
      <c r="A31" s="61"/>
      <c r="B31" s="62"/>
      <c r="C31" s="62"/>
      <c r="D31" s="62"/>
      <c r="E31" s="62"/>
      <c r="F31" s="63" t="s">
        <v>207</v>
      </c>
      <c r="G31" s="66" t="s">
        <v>241</v>
      </c>
      <c r="H31" s="66"/>
    </row>
    <row r="32" spans="1:8" ht="115.2">
      <c r="A32" s="61">
        <v>10</v>
      </c>
      <c r="B32" s="62" t="s">
        <v>198</v>
      </c>
      <c r="C32" s="62" t="s">
        <v>237</v>
      </c>
      <c r="D32" s="62" t="s">
        <v>200</v>
      </c>
      <c r="E32" s="62" t="s">
        <v>242</v>
      </c>
      <c r="F32" s="63" t="s">
        <v>204</v>
      </c>
      <c r="G32" s="66" t="s">
        <v>243</v>
      </c>
      <c r="H32" s="66"/>
    </row>
    <row r="33" spans="1:8">
      <c r="A33" s="61"/>
      <c r="B33" s="62"/>
      <c r="C33" s="62"/>
      <c r="D33" s="62"/>
      <c r="E33" s="62"/>
      <c r="F33" s="63" t="s">
        <v>205</v>
      </c>
      <c r="G33" s="66" t="s">
        <v>244</v>
      </c>
      <c r="H33" s="66"/>
    </row>
    <row r="34" spans="1:8">
      <c r="A34" s="61"/>
      <c r="B34" s="62"/>
      <c r="C34" s="62"/>
      <c r="D34" s="62"/>
      <c r="E34" s="62"/>
      <c r="F34" s="63" t="s">
        <v>207</v>
      </c>
      <c r="G34" s="66" t="s">
        <v>245</v>
      </c>
      <c r="H34" s="66"/>
    </row>
    <row r="35" spans="1:8" ht="115.2">
      <c r="A35" s="61">
        <v>11</v>
      </c>
      <c r="B35" s="62" t="s">
        <v>198</v>
      </c>
      <c r="C35" s="62" t="s">
        <v>237</v>
      </c>
      <c r="D35" s="62" t="s">
        <v>200</v>
      </c>
      <c r="E35" s="62" t="s">
        <v>246</v>
      </c>
      <c r="F35" s="63" t="s">
        <v>204</v>
      </c>
      <c r="G35" s="66" t="s">
        <v>247</v>
      </c>
      <c r="H35" s="66"/>
    </row>
    <row r="36" spans="1:8">
      <c r="A36" s="61"/>
      <c r="B36" s="62"/>
      <c r="C36" s="62"/>
      <c r="D36" s="62"/>
      <c r="E36" s="62"/>
      <c r="F36" s="63" t="s">
        <v>205</v>
      </c>
      <c r="G36" s="66" t="s">
        <v>248</v>
      </c>
      <c r="H36" s="66"/>
    </row>
    <row r="37" spans="1:8">
      <c r="A37" s="61"/>
      <c r="B37" s="62"/>
      <c r="C37" s="62"/>
      <c r="D37" s="62"/>
      <c r="E37" s="62"/>
      <c r="F37" s="63" t="s">
        <v>207</v>
      </c>
      <c r="G37" s="66" t="s">
        <v>249</v>
      </c>
      <c r="H37" s="66"/>
    </row>
    <row r="38" spans="1:8" ht="115.2">
      <c r="A38" s="61">
        <v>12</v>
      </c>
      <c r="B38" s="62" t="s">
        <v>198</v>
      </c>
      <c r="C38" s="62" t="s">
        <v>237</v>
      </c>
      <c r="D38" s="62" t="s">
        <v>200</v>
      </c>
      <c r="E38" s="62" t="s">
        <v>250</v>
      </c>
      <c r="F38" s="63" t="s">
        <v>204</v>
      </c>
      <c r="G38" s="66" t="s">
        <v>251</v>
      </c>
      <c r="H38" s="66"/>
    </row>
    <row r="39" spans="1:8">
      <c r="A39" s="61"/>
      <c r="B39" s="62"/>
      <c r="C39" s="62"/>
      <c r="D39" s="62"/>
      <c r="E39" s="62"/>
      <c r="F39" s="63" t="s">
        <v>205</v>
      </c>
      <c r="G39" s="66" t="s">
        <v>252</v>
      </c>
      <c r="H39" s="66"/>
    </row>
    <row r="40" spans="1:8">
      <c r="A40" s="61"/>
      <c r="B40" s="62"/>
      <c r="C40" s="62"/>
      <c r="D40" s="62"/>
      <c r="E40" s="62"/>
      <c r="F40" s="63" t="s">
        <v>207</v>
      </c>
      <c r="G40" s="66" t="s">
        <v>253</v>
      </c>
      <c r="H40" s="66"/>
    </row>
    <row r="41" spans="1:8" ht="115.2">
      <c r="A41" s="61">
        <v>13</v>
      </c>
      <c r="B41" s="62" t="s">
        <v>198</v>
      </c>
      <c r="C41" s="62" t="s">
        <v>237</v>
      </c>
      <c r="D41" s="62" t="s">
        <v>200</v>
      </c>
      <c r="E41" s="62" t="s">
        <v>254</v>
      </c>
      <c r="F41" s="63" t="s">
        <v>204</v>
      </c>
      <c r="G41" s="66" t="s">
        <v>255</v>
      </c>
      <c r="H41" s="66"/>
    </row>
    <row r="42" spans="1:8">
      <c r="A42" s="61"/>
      <c r="B42" s="62"/>
      <c r="C42" s="62"/>
      <c r="D42" s="62"/>
      <c r="E42" s="62"/>
      <c r="F42" s="63" t="s">
        <v>205</v>
      </c>
      <c r="G42" s="66" t="s">
        <v>256</v>
      </c>
      <c r="H42" s="66"/>
    </row>
    <row r="43" spans="1:8">
      <c r="A43" s="61"/>
      <c r="B43" s="62"/>
      <c r="C43" s="62"/>
      <c r="D43" s="62"/>
      <c r="E43" s="62"/>
      <c r="F43" s="63" t="s">
        <v>207</v>
      </c>
      <c r="G43" s="66" t="s">
        <v>257</v>
      </c>
      <c r="H43" s="66"/>
    </row>
    <row r="44" spans="1:8" ht="115.2">
      <c r="A44" s="61">
        <v>14</v>
      </c>
      <c r="B44" s="62" t="s">
        <v>198</v>
      </c>
      <c r="C44" s="62" t="s">
        <v>237</v>
      </c>
      <c r="D44" s="62" t="s">
        <v>200</v>
      </c>
      <c r="E44" s="62" t="s">
        <v>258</v>
      </c>
      <c r="F44" s="63" t="s">
        <v>204</v>
      </c>
      <c r="G44" s="66" t="s">
        <v>259</v>
      </c>
      <c r="H44" s="66"/>
    </row>
    <row r="45" spans="1:8">
      <c r="A45" s="61"/>
      <c r="B45" s="62"/>
      <c r="C45" s="62"/>
      <c r="D45" s="62"/>
      <c r="E45" s="62"/>
      <c r="F45" s="63" t="s">
        <v>205</v>
      </c>
      <c r="G45" s="66" t="s">
        <v>260</v>
      </c>
      <c r="H45" s="66"/>
    </row>
    <row r="46" spans="1:8">
      <c r="A46" s="61"/>
      <c r="B46" s="62"/>
      <c r="C46" s="62"/>
      <c r="D46" s="62"/>
      <c r="E46" s="62"/>
      <c r="F46" s="63" t="s">
        <v>207</v>
      </c>
      <c r="G46" s="66" t="s">
        <v>261</v>
      </c>
      <c r="H46" s="66"/>
    </row>
    <row r="47" spans="1:8" ht="115.2">
      <c r="A47" s="61">
        <v>15</v>
      </c>
      <c r="B47" s="62" t="s">
        <v>198</v>
      </c>
      <c r="C47" s="62" t="s">
        <v>237</v>
      </c>
      <c r="D47" s="62" t="s">
        <v>200</v>
      </c>
      <c r="E47" s="62" t="s">
        <v>262</v>
      </c>
      <c r="F47" s="63" t="s">
        <v>204</v>
      </c>
      <c r="G47" s="66" t="s">
        <v>263</v>
      </c>
      <c r="H47" s="66"/>
    </row>
    <row r="48" spans="1:8">
      <c r="A48" s="61"/>
      <c r="B48" s="62"/>
      <c r="C48" s="62"/>
      <c r="D48" s="62"/>
      <c r="E48" s="62"/>
      <c r="F48" s="63" t="s">
        <v>205</v>
      </c>
      <c r="G48" s="66" t="s">
        <v>264</v>
      </c>
      <c r="H48" s="66"/>
    </row>
    <row r="49" spans="1:8">
      <c r="A49" s="61"/>
      <c r="B49" s="62"/>
      <c r="C49" s="62"/>
      <c r="D49" s="62"/>
      <c r="E49" s="62"/>
      <c r="F49" s="63" t="s">
        <v>207</v>
      </c>
      <c r="G49" s="66" t="s">
        <v>265</v>
      </c>
      <c r="H49" s="66"/>
    </row>
    <row r="50" spans="1:8">
      <c r="A50" s="61">
        <v>16</v>
      </c>
      <c r="B50" s="62" t="s">
        <v>198</v>
      </c>
      <c r="C50" s="62" t="s">
        <v>220</v>
      </c>
      <c r="D50" s="62" t="s">
        <v>200</v>
      </c>
      <c r="E50" s="62" t="s">
        <v>266</v>
      </c>
      <c r="F50" s="63" t="s">
        <v>267</v>
      </c>
      <c r="G50" s="66" t="s">
        <v>222</v>
      </c>
      <c r="H50" s="66"/>
    </row>
    <row r="51" spans="1:8">
      <c r="A51" s="61">
        <v>17</v>
      </c>
      <c r="B51" s="62" t="s">
        <v>198</v>
      </c>
      <c r="C51" s="62" t="s">
        <v>268</v>
      </c>
      <c r="D51" s="62" t="s">
        <v>200</v>
      </c>
      <c r="E51" s="62" t="s">
        <v>269</v>
      </c>
      <c r="F51" s="63" t="s">
        <v>204</v>
      </c>
      <c r="G51" s="66" t="s">
        <v>268</v>
      </c>
      <c r="H51" s="65"/>
    </row>
    <row r="52" spans="1:8">
      <c r="A52" s="61"/>
      <c r="B52" s="62"/>
      <c r="C52" s="62"/>
      <c r="D52" s="62"/>
      <c r="E52" s="62"/>
      <c r="F52" s="63" t="s">
        <v>205</v>
      </c>
      <c r="G52" s="66" t="s">
        <v>270</v>
      </c>
      <c r="H52" s="65"/>
    </row>
    <row r="53" spans="1:8">
      <c r="A53" s="61"/>
      <c r="B53" s="62"/>
      <c r="C53" s="62"/>
      <c r="D53" s="62"/>
      <c r="E53" s="62"/>
      <c r="F53" s="63" t="s">
        <v>207</v>
      </c>
      <c r="G53" s="66" t="s">
        <v>271</v>
      </c>
      <c r="H53" s="65"/>
    </row>
    <row r="54" spans="1:8">
      <c r="A54" s="61"/>
      <c r="B54" s="62"/>
      <c r="C54" s="62"/>
      <c r="D54" s="62"/>
      <c r="E54" s="62"/>
      <c r="F54" s="63" t="s">
        <v>207</v>
      </c>
      <c r="G54" s="66" t="s">
        <v>272</v>
      </c>
      <c r="H54" s="65"/>
    </row>
    <row r="55" spans="1:8">
      <c r="A55" s="61">
        <v>18</v>
      </c>
      <c r="B55" s="62" t="s">
        <v>273</v>
      </c>
      <c r="C55" s="62" t="s">
        <v>274</v>
      </c>
      <c r="D55" s="62" t="s">
        <v>200</v>
      </c>
      <c r="E55" s="62" t="s">
        <v>275</v>
      </c>
      <c r="F55" s="63" t="s">
        <v>204</v>
      </c>
      <c r="G55" s="66"/>
      <c r="H55" s="65"/>
    </row>
    <row r="56" spans="1:8">
      <c r="A56" s="61"/>
      <c r="B56" s="62"/>
      <c r="C56" s="62"/>
      <c r="D56" s="62"/>
      <c r="E56" s="62"/>
      <c r="F56" s="63" t="s">
        <v>205</v>
      </c>
      <c r="G56" s="66" t="s">
        <v>276</v>
      </c>
      <c r="H56" s="65"/>
    </row>
    <row r="57" spans="1:8">
      <c r="A57" s="61"/>
      <c r="B57" s="62"/>
      <c r="C57" s="62"/>
      <c r="D57" s="62"/>
      <c r="E57" s="62"/>
      <c r="F57" s="63" t="s">
        <v>207</v>
      </c>
      <c r="G57" s="66" t="s">
        <v>277</v>
      </c>
      <c r="H57" s="65"/>
    </row>
    <row r="58" spans="1:8">
      <c r="A58" s="61"/>
      <c r="B58" s="62"/>
      <c r="C58" s="62"/>
      <c r="D58" s="62"/>
      <c r="E58" s="62"/>
      <c r="F58" s="63" t="s">
        <v>207</v>
      </c>
      <c r="G58" s="66" t="s">
        <v>278</v>
      </c>
      <c r="H58" s="65"/>
    </row>
    <row r="59" spans="1:8">
      <c r="A59" s="68"/>
      <c r="B59" s="69"/>
      <c r="C59" s="69"/>
      <c r="D59" s="69"/>
      <c r="E59" s="69"/>
      <c r="F59" s="70" t="s">
        <v>207</v>
      </c>
      <c r="G59" s="71" t="s">
        <v>279</v>
      </c>
      <c r="H59" s="72"/>
    </row>
    <row r="60" spans="1:8" s="51" customFormat="1">
      <c r="A60" s="73">
        <v>19</v>
      </c>
      <c r="B60" s="74" t="s">
        <v>198</v>
      </c>
      <c r="C60" s="74" t="s">
        <v>199</v>
      </c>
      <c r="D60" s="74" t="s">
        <v>200</v>
      </c>
      <c r="E60" s="74" t="s">
        <v>280</v>
      </c>
      <c r="F60" s="75" t="s">
        <v>204</v>
      </c>
      <c r="G60" s="76" t="s">
        <v>199</v>
      </c>
      <c r="H60" s="77"/>
    </row>
    <row r="61" spans="1:8" s="51" customFormat="1">
      <c r="A61" s="73"/>
      <c r="B61" s="74"/>
      <c r="C61" s="74"/>
      <c r="D61" s="74"/>
      <c r="E61" s="74"/>
      <c r="F61" s="75" t="s">
        <v>205</v>
      </c>
      <c r="G61" s="78" t="s">
        <v>281</v>
      </c>
      <c r="H61" s="77"/>
    </row>
    <row r="62" spans="1:8" s="51" customFormat="1">
      <c r="A62" s="73"/>
      <c r="B62" s="77"/>
      <c r="C62" s="79"/>
      <c r="D62" s="79"/>
      <c r="E62" s="79"/>
      <c r="F62" s="73" t="s">
        <v>207</v>
      </c>
      <c r="G62" s="77" t="s">
        <v>282</v>
      </c>
      <c r="H62" s="77"/>
    </row>
    <row r="64" spans="1:8">
      <c r="F64" s="19"/>
      <c r="G64" s="19"/>
    </row>
    <row r="65" spans="1:9" s="27" customFormat="1" ht="15" thickBot="1">
      <c r="A65" s="23"/>
      <c r="B65" s="23"/>
      <c r="C65" s="24" t="s">
        <v>283</v>
      </c>
      <c r="D65" s="25"/>
      <c r="E65" s="26"/>
      <c r="F65" s="24" t="s">
        <v>284</v>
      </c>
      <c r="G65" s="26"/>
      <c r="H65" s="26"/>
    </row>
    <row r="66" spans="1:9" s="27" customFormat="1" ht="99.75" customHeight="1" thickBot="1">
      <c r="A66" s="23"/>
      <c r="B66" s="23"/>
      <c r="C66" s="2" t="s">
        <v>285</v>
      </c>
      <c r="D66" s="2" t="s">
        <v>286</v>
      </c>
      <c r="E66" s="26"/>
      <c r="F66" s="2" t="s">
        <v>196</v>
      </c>
      <c r="G66" s="2" t="s">
        <v>287</v>
      </c>
      <c r="H66" s="3" t="s">
        <v>288</v>
      </c>
    </row>
    <row r="67" spans="1:9" s="27" customFormat="1">
      <c r="C67" s="28" t="s">
        <v>157</v>
      </c>
      <c r="D67" s="28" t="s">
        <v>157</v>
      </c>
      <c r="E67" s="29"/>
      <c r="F67" s="30" t="s">
        <v>289</v>
      </c>
      <c r="G67" s="44" t="s">
        <v>290</v>
      </c>
      <c r="H67" s="15"/>
    </row>
    <row r="68" spans="1:9" s="27" customFormat="1">
      <c r="C68" s="17"/>
      <c r="D68" s="17"/>
      <c r="E68" s="29"/>
      <c r="F68" s="32"/>
      <c r="G68" s="31"/>
      <c r="H68" s="33"/>
    </row>
    <row r="69" spans="1:9" s="27" customFormat="1">
      <c r="C69" s="5"/>
      <c r="D69" s="5"/>
      <c r="E69" s="5"/>
      <c r="F69" s="32"/>
      <c r="G69" s="15"/>
      <c r="H69" s="33"/>
    </row>
    <row r="70" spans="1:9" s="27" customFormat="1">
      <c r="C70" s="5"/>
      <c r="D70" s="5"/>
      <c r="E70" s="5"/>
      <c r="F70" s="34"/>
      <c r="G70" s="35"/>
      <c r="H70" s="35"/>
    </row>
    <row r="71" spans="1:9">
      <c r="A71" s="4"/>
      <c r="B71" s="4"/>
      <c r="C71" s="5"/>
      <c r="D71" s="5"/>
      <c r="E71" s="5"/>
      <c r="F71" s="34"/>
      <c r="G71" s="16"/>
      <c r="H71" s="35"/>
    </row>
    <row r="72" spans="1:9" ht="15" thickBot="1">
      <c r="A72" s="6" t="s">
        <v>291</v>
      </c>
      <c r="B72" s="6"/>
      <c r="C72" s="5"/>
      <c r="D72" s="5"/>
      <c r="E72" s="5"/>
      <c r="F72" s="4"/>
      <c r="G72" s="4"/>
      <c r="H72" s="7"/>
    </row>
    <row r="73" spans="1:9" ht="15" thickBot="1">
      <c r="A73" s="129" t="s">
        <v>292</v>
      </c>
      <c r="B73" s="130"/>
      <c r="C73" s="130"/>
      <c r="D73" s="131"/>
      <c r="E73" s="132" t="s">
        <v>190</v>
      </c>
      <c r="F73" s="133"/>
      <c r="G73" s="133"/>
      <c r="H73" s="134"/>
    </row>
    <row r="74" spans="1:9" s="14" customFormat="1" ht="15" thickBot="1">
      <c r="A74" s="8" t="s">
        <v>293</v>
      </c>
      <c r="B74" s="9" t="s">
        <v>294</v>
      </c>
      <c r="C74" s="9" t="s">
        <v>2</v>
      </c>
      <c r="D74" s="10" t="s">
        <v>295</v>
      </c>
      <c r="E74" s="11" t="s">
        <v>296</v>
      </c>
      <c r="F74" s="12" t="s">
        <v>297</v>
      </c>
      <c r="G74" s="12" t="s">
        <v>298</v>
      </c>
      <c r="H74" s="13" t="s">
        <v>299</v>
      </c>
      <c r="I74" s="13" t="s">
        <v>126</v>
      </c>
    </row>
    <row r="75" spans="1:9">
      <c r="A75" s="80">
        <v>1</v>
      </c>
      <c r="B75" s="81" t="s">
        <v>3</v>
      </c>
      <c r="C75" s="82" t="s">
        <v>300</v>
      </c>
      <c r="D75" s="83" t="s">
        <v>4</v>
      </c>
      <c r="E75" s="84"/>
      <c r="F75" s="85"/>
      <c r="G75" s="86" t="s">
        <v>301</v>
      </c>
      <c r="H75" s="87" t="s">
        <v>302</v>
      </c>
      <c r="I75" s="61"/>
    </row>
    <row r="76" spans="1:9">
      <c r="A76" s="80">
        <v>2</v>
      </c>
      <c r="B76" s="81" t="s">
        <v>5</v>
      </c>
      <c r="C76" s="82" t="s">
        <v>303</v>
      </c>
      <c r="D76" s="83" t="s">
        <v>304</v>
      </c>
      <c r="E76" s="84"/>
      <c r="F76" s="85"/>
      <c r="G76" s="85" t="s">
        <v>305</v>
      </c>
      <c r="H76" s="88"/>
      <c r="I76" s="61"/>
    </row>
    <row r="77" spans="1:9">
      <c r="A77" s="80">
        <v>3</v>
      </c>
      <c r="B77" s="81" t="s">
        <v>6</v>
      </c>
      <c r="C77" s="82" t="s">
        <v>306</v>
      </c>
      <c r="D77" s="83" t="s">
        <v>307</v>
      </c>
      <c r="E77" s="84" t="s">
        <v>308</v>
      </c>
      <c r="F77" s="89" t="s">
        <v>130</v>
      </c>
      <c r="G77" s="90" t="s">
        <v>309</v>
      </c>
      <c r="H77" s="88"/>
      <c r="I77" s="61"/>
    </row>
    <row r="78" spans="1:9" ht="57.6">
      <c r="A78" s="80">
        <v>4</v>
      </c>
      <c r="B78" s="91" t="s">
        <v>7</v>
      </c>
      <c r="C78" s="92" t="s">
        <v>310</v>
      </c>
      <c r="D78" s="83" t="s">
        <v>311</v>
      </c>
      <c r="E78" s="84" t="s">
        <v>312</v>
      </c>
      <c r="F78" s="89" t="s">
        <v>313</v>
      </c>
      <c r="G78" s="82" t="s">
        <v>314</v>
      </c>
      <c r="H78" s="88" t="s">
        <v>315</v>
      </c>
      <c r="I78" s="61"/>
    </row>
    <row r="79" spans="1:9">
      <c r="A79" s="80">
        <v>5</v>
      </c>
      <c r="B79" s="81" t="s">
        <v>8</v>
      </c>
      <c r="C79" s="82" t="s">
        <v>316</v>
      </c>
      <c r="D79" s="83" t="s">
        <v>307</v>
      </c>
      <c r="E79" s="84" t="s">
        <v>308</v>
      </c>
      <c r="F79" s="89" t="s">
        <v>130</v>
      </c>
      <c r="G79" s="90" t="s">
        <v>309</v>
      </c>
      <c r="H79" s="88"/>
      <c r="I79" s="61"/>
    </row>
    <row r="80" spans="1:9">
      <c r="A80" s="80">
        <v>6</v>
      </c>
      <c r="B80" s="81" t="s">
        <v>9</v>
      </c>
      <c r="C80" s="82"/>
      <c r="D80" s="83" t="s">
        <v>307</v>
      </c>
      <c r="E80" s="93" t="s">
        <v>228</v>
      </c>
      <c r="F80" s="92" t="s">
        <v>143</v>
      </c>
      <c r="G80" s="94" t="str">
        <f>"ISNULL(cfuf."&amp;F80&amp;", '')"</f>
        <v>ISNULL(cfuf.FIELD_VAL_7, '')</v>
      </c>
      <c r="H80" s="88" t="s">
        <v>317</v>
      </c>
      <c r="I80" s="61" t="s">
        <v>129</v>
      </c>
    </row>
    <row r="81" spans="1:9">
      <c r="A81" s="80">
        <v>7</v>
      </c>
      <c r="B81" s="81" t="s">
        <v>10</v>
      </c>
      <c r="C81" s="82"/>
      <c r="D81" s="83" t="s">
        <v>318</v>
      </c>
      <c r="E81" s="93" t="s">
        <v>268</v>
      </c>
      <c r="F81" s="92" t="s">
        <v>10</v>
      </c>
      <c r="G81" s="94" t="s">
        <v>319</v>
      </c>
      <c r="H81" s="88" t="s">
        <v>320</v>
      </c>
      <c r="I81" s="61" t="s">
        <v>129</v>
      </c>
    </row>
    <row r="82" spans="1:9" ht="28.8">
      <c r="A82" s="80">
        <v>8</v>
      </c>
      <c r="B82" s="81" t="s">
        <v>11</v>
      </c>
      <c r="C82" s="82" t="s">
        <v>321</v>
      </c>
      <c r="D82" s="83" t="s">
        <v>311</v>
      </c>
      <c r="E82" s="84" t="s">
        <v>199</v>
      </c>
      <c r="F82" s="92" t="s">
        <v>322</v>
      </c>
      <c r="G82" s="82" t="s">
        <v>323</v>
      </c>
      <c r="H82" s="88" t="s">
        <v>324</v>
      </c>
      <c r="I82" s="61"/>
    </row>
    <row r="83" spans="1:9">
      <c r="A83" s="80">
        <v>9</v>
      </c>
      <c r="B83" s="81" t="s">
        <v>12</v>
      </c>
      <c r="C83" s="82" t="s">
        <v>325</v>
      </c>
      <c r="D83" s="83" t="s">
        <v>326</v>
      </c>
      <c r="E83" s="93" t="s">
        <v>199</v>
      </c>
      <c r="F83" s="92" t="s">
        <v>186</v>
      </c>
      <c r="G83" s="94" t="s">
        <v>327</v>
      </c>
      <c r="H83" s="88" t="s">
        <v>328</v>
      </c>
      <c r="I83" s="61"/>
    </row>
    <row r="84" spans="1:9">
      <c r="A84" s="80">
        <v>10</v>
      </c>
      <c r="B84" s="81" t="s">
        <v>13</v>
      </c>
      <c r="C84" s="82" t="s">
        <v>329</v>
      </c>
      <c r="D84" s="83" t="s">
        <v>330</v>
      </c>
      <c r="E84" s="93" t="s">
        <v>199</v>
      </c>
      <c r="F84" s="89" t="s">
        <v>128</v>
      </c>
      <c r="G84" s="94" t="s">
        <v>331</v>
      </c>
      <c r="H84" s="88"/>
      <c r="I84" s="61"/>
    </row>
    <row r="85" spans="1:9" ht="28.8">
      <c r="A85" s="80">
        <v>11</v>
      </c>
      <c r="B85" s="81" t="s">
        <v>14</v>
      </c>
      <c r="C85" s="82"/>
      <c r="D85" s="83" t="s">
        <v>307</v>
      </c>
      <c r="E85" s="93" t="s">
        <v>228</v>
      </c>
      <c r="F85" s="92" t="s">
        <v>179</v>
      </c>
      <c r="G85" s="94" t="str">
        <f>"ISNULL(cfuf."&amp;F85&amp;", '')"</f>
        <v>ISNULL(cfuf.FIELD_VAL_44, '')</v>
      </c>
      <c r="H85" s="88" t="s">
        <v>332</v>
      </c>
      <c r="I85" s="61" t="s">
        <v>129</v>
      </c>
    </row>
    <row r="86" spans="1:9">
      <c r="A86" s="80">
        <v>12</v>
      </c>
      <c r="B86" s="81" t="s">
        <v>15</v>
      </c>
      <c r="C86" s="82" t="s">
        <v>333</v>
      </c>
      <c r="D86" s="83" t="s">
        <v>334</v>
      </c>
      <c r="E86" s="84" t="s">
        <v>199</v>
      </c>
      <c r="F86" s="95" t="s">
        <v>137</v>
      </c>
      <c r="G86" s="94" t="s">
        <v>335</v>
      </c>
      <c r="H86" s="88" t="s">
        <v>336</v>
      </c>
      <c r="I86" s="61"/>
    </row>
    <row r="87" spans="1:9">
      <c r="A87" s="80">
        <v>13</v>
      </c>
      <c r="B87" s="81" t="s">
        <v>16</v>
      </c>
      <c r="C87" s="82" t="s">
        <v>337</v>
      </c>
      <c r="D87" s="83" t="s">
        <v>330</v>
      </c>
      <c r="E87" s="93" t="s">
        <v>228</v>
      </c>
      <c r="F87" s="92" t="s">
        <v>151</v>
      </c>
      <c r="G87" s="94" t="str">
        <f>"ISNULL(cfuf."&amp;F87&amp;", '')"</f>
        <v>ISNULL(cfuf.FIELD_VAL_15, '')</v>
      </c>
      <c r="H87" s="88" t="s">
        <v>338</v>
      </c>
      <c r="I87" s="61" t="s">
        <v>129</v>
      </c>
    </row>
    <row r="88" spans="1:9">
      <c r="A88" s="80">
        <v>14</v>
      </c>
      <c r="B88" s="81" t="s">
        <v>17</v>
      </c>
      <c r="C88" s="82"/>
      <c r="D88" s="83" t="s">
        <v>307</v>
      </c>
      <c r="E88" s="84"/>
      <c r="F88" s="92"/>
      <c r="G88" s="89" t="s">
        <v>187</v>
      </c>
      <c r="H88" s="88" t="s">
        <v>339</v>
      </c>
      <c r="I88" s="61" t="s">
        <v>129</v>
      </c>
    </row>
    <row r="89" spans="1:9">
      <c r="A89" s="80">
        <v>15</v>
      </c>
      <c r="B89" s="81" t="s">
        <v>18</v>
      </c>
      <c r="C89" s="82"/>
      <c r="D89" s="83" t="s">
        <v>307</v>
      </c>
      <c r="E89" s="93" t="s">
        <v>228</v>
      </c>
      <c r="F89" s="92" t="s">
        <v>172</v>
      </c>
      <c r="G89" s="94" t="str">
        <f>"ISNULL(cfuf."&amp;F89&amp;", '')"</f>
        <v>ISNULL(cfuf.FIELD_VAL_37, '')</v>
      </c>
      <c r="H89" s="88" t="s">
        <v>340</v>
      </c>
      <c r="I89" s="61" t="s">
        <v>129</v>
      </c>
    </row>
    <row r="90" spans="1:9">
      <c r="A90" s="80">
        <v>16</v>
      </c>
      <c r="B90" s="81" t="s">
        <v>19</v>
      </c>
      <c r="C90" s="82"/>
      <c r="D90" s="83" t="s">
        <v>307</v>
      </c>
      <c r="E90" s="93" t="s">
        <v>228</v>
      </c>
      <c r="F90" s="92" t="s">
        <v>144</v>
      </c>
      <c r="G90" s="94" t="str">
        <f>"ISNULL(cfuf."&amp;F90&amp;", '')"</f>
        <v>ISNULL(cfuf.FIELD_VAL_8, '')</v>
      </c>
      <c r="H90" s="88" t="s">
        <v>341</v>
      </c>
      <c r="I90" s="61" t="s">
        <v>129</v>
      </c>
    </row>
    <row r="91" spans="1:9">
      <c r="A91" s="80">
        <v>17</v>
      </c>
      <c r="B91" s="81" t="s">
        <v>20</v>
      </c>
      <c r="C91" s="82"/>
      <c r="D91" s="83" t="s">
        <v>307</v>
      </c>
      <c r="E91" s="93" t="s">
        <v>228</v>
      </c>
      <c r="F91" s="92" t="s">
        <v>185</v>
      </c>
      <c r="G91" s="94" t="str">
        <f>"ISNULL(cfuf."&amp;F91&amp;", '')"</f>
        <v>ISNULL(cfuf.FIELD_VAL_50, '')</v>
      </c>
      <c r="H91" s="88" t="s">
        <v>342</v>
      </c>
      <c r="I91" s="61" t="s">
        <v>129</v>
      </c>
    </row>
    <row r="92" spans="1:9">
      <c r="A92" s="80">
        <v>18</v>
      </c>
      <c r="B92" s="91" t="s">
        <v>21</v>
      </c>
      <c r="C92" s="82"/>
      <c r="D92" s="83" t="s">
        <v>307</v>
      </c>
      <c r="E92" s="93" t="s">
        <v>228</v>
      </c>
      <c r="F92" s="92" t="s">
        <v>156</v>
      </c>
      <c r="G92" s="94" t="str">
        <f>"ISNULL(cfuf."&amp;F92&amp;", '')"</f>
        <v>ISNULL(cfuf.FIELD_VAL_22, '')</v>
      </c>
      <c r="H92" s="88" t="s">
        <v>343</v>
      </c>
      <c r="I92" s="61" t="s">
        <v>129</v>
      </c>
    </row>
    <row r="93" spans="1:9">
      <c r="A93" s="80">
        <v>19</v>
      </c>
      <c r="B93" s="43" t="s">
        <v>22</v>
      </c>
      <c r="C93" s="82"/>
      <c r="D93" s="83" t="s">
        <v>307</v>
      </c>
      <c r="E93" s="93" t="s">
        <v>228</v>
      </c>
      <c r="F93" s="92" t="s">
        <v>184</v>
      </c>
      <c r="G93" s="94" t="str">
        <f>"ISNULL(cfuf."&amp;F93&amp;", '')"</f>
        <v>ISNULL(cfuf.FIELD_VAL_49, '')</v>
      </c>
      <c r="H93" s="88" t="s">
        <v>344</v>
      </c>
      <c r="I93" s="61" t="s">
        <v>129</v>
      </c>
    </row>
    <row r="94" spans="1:9">
      <c r="A94" s="80">
        <v>20</v>
      </c>
      <c r="B94" s="81" t="s">
        <v>23</v>
      </c>
      <c r="C94" s="82"/>
      <c r="D94" s="83" t="s">
        <v>307</v>
      </c>
      <c r="E94" s="93"/>
      <c r="F94" s="92"/>
      <c r="G94" s="95" t="s">
        <v>345</v>
      </c>
      <c r="H94" s="88" t="s">
        <v>346</v>
      </c>
      <c r="I94" s="61" t="s">
        <v>129</v>
      </c>
    </row>
    <row r="95" spans="1:9">
      <c r="A95" s="80">
        <v>21</v>
      </c>
      <c r="B95" s="81" t="s">
        <v>24</v>
      </c>
      <c r="C95" s="82"/>
      <c r="D95" s="83" t="s">
        <v>307</v>
      </c>
      <c r="E95" s="93"/>
      <c r="F95" s="92"/>
      <c r="G95" s="89" t="s">
        <v>347</v>
      </c>
      <c r="H95" s="88" t="s">
        <v>348</v>
      </c>
      <c r="I95" s="61" t="s">
        <v>129</v>
      </c>
    </row>
    <row r="96" spans="1:9" ht="28.8">
      <c r="A96" s="80">
        <v>22</v>
      </c>
      <c r="B96" s="81" t="s">
        <v>25</v>
      </c>
      <c r="C96" s="82"/>
      <c r="D96" s="83" t="s">
        <v>307</v>
      </c>
      <c r="E96" s="93"/>
      <c r="F96" s="92"/>
      <c r="G96" s="89" t="s">
        <v>349</v>
      </c>
      <c r="H96" s="88" t="s">
        <v>350</v>
      </c>
      <c r="I96" s="61" t="s">
        <v>129</v>
      </c>
    </row>
    <row r="97" spans="1:9">
      <c r="A97" s="80">
        <v>23</v>
      </c>
      <c r="B97" s="81" t="s">
        <v>26</v>
      </c>
      <c r="C97" s="82"/>
      <c r="D97" s="83" t="s">
        <v>307</v>
      </c>
      <c r="E97" s="93"/>
      <c r="F97" s="92"/>
      <c r="G97" s="89" t="s">
        <v>349</v>
      </c>
      <c r="H97" s="88" t="s">
        <v>351</v>
      </c>
      <c r="I97" s="61" t="s">
        <v>129</v>
      </c>
    </row>
    <row r="98" spans="1:9">
      <c r="A98" s="80">
        <v>24</v>
      </c>
      <c r="B98" s="81" t="s">
        <v>27</v>
      </c>
      <c r="C98" s="82"/>
      <c r="D98" s="83" t="s">
        <v>307</v>
      </c>
      <c r="E98" s="93" t="s">
        <v>199</v>
      </c>
      <c r="F98" s="92" t="s">
        <v>137</v>
      </c>
      <c r="G98" s="94" t="s">
        <v>335</v>
      </c>
      <c r="H98" s="88" t="s">
        <v>352</v>
      </c>
      <c r="I98" s="61" t="s">
        <v>129</v>
      </c>
    </row>
    <row r="99" spans="1:9" ht="28.8">
      <c r="A99" s="80">
        <v>25</v>
      </c>
      <c r="B99" s="81" t="s">
        <v>28</v>
      </c>
      <c r="C99" s="82"/>
      <c r="D99" s="83" t="s">
        <v>307</v>
      </c>
      <c r="E99" s="93"/>
      <c r="F99" s="89"/>
      <c r="G99" s="89" t="s">
        <v>353</v>
      </c>
      <c r="H99" s="88" t="s">
        <v>354</v>
      </c>
      <c r="I99" s="61" t="s">
        <v>129</v>
      </c>
    </row>
    <row r="100" spans="1:9" ht="28.8">
      <c r="A100" s="80">
        <v>26</v>
      </c>
      <c r="B100" s="81" t="s">
        <v>29</v>
      </c>
      <c r="C100" s="82"/>
      <c r="D100" s="83" t="s">
        <v>307</v>
      </c>
      <c r="E100" s="93"/>
      <c r="F100" s="89"/>
      <c r="G100" s="89" t="s">
        <v>347</v>
      </c>
      <c r="H100" s="88" t="s">
        <v>355</v>
      </c>
      <c r="I100" s="61" t="s">
        <v>129</v>
      </c>
    </row>
    <row r="101" spans="1:9" ht="28.8">
      <c r="A101" s="80">
        <v>27</v>
      </c>
      <c r="B101" s="81" t="s">
        <v>30</v>
      </c>
      <c r="C101" s="82"/>
      <c r="D101" s="83" t="s">
        <v>356</v>
      </c>
      <c r="E101" s="84" t="s">
        <v>199</v>
      </c>
      <c r="F101" s="89" t="s">
        <v>133</v>
      </c>
      <c r="G101" s="89" t="s">
        <v>357</v>
      </c>
      <c r="H101" s="88" t="s">
        <v>358</v>
      </c>
      <c r="I101" s="61" t="s">
        <v>129</v>
      </c>
    </row>
    <row r="102" spans="1:9">
      <c r="A102" s="80">
        <v>28</v>
      </c>
      <c r="B102" s="81" t="s">
        <v>31</v>
      </c>
      <c r="C102" s="82"/>
      <c r="D102" s="83" t="s">
        <v>307</v>
      </c>
      <c r="E102" s="93" t="s">
        <v>228</v>
      </c>
      <c r="F102" s="92" t="s">
        <v>152</v>
      </c>
      <c r="G102" s="94" t="str">
        <f t="shared" ref="G102:G109" si="0">"ISNULL(cfuf."&amp;F102&amp;", '')"</f>
        <v>ISNULL(cfuf.FIELD_VAL_16, '')</v>
      </c>
      <c r="H102" s="88" t="s">
        <v>359</v>
      </c>
      <c r="I102" s="61" t="s">
        <v>129</v>
      </c>
    </row>
    <row r="103" spans="1:9">
      <c r="A103" s="80">
        <v>29</v>
      </c>
      <c r="B103" s="81" t="s">
        <v>32</v>
      </c>
      <c r="C103" s="82"/>
      <c r="D103" s="83" t="s">
        <v>326</v>
      </c>
      <c r="E103" s="93" t="s">
        <v>228</v>
      </c>
      <c r="F103" s="92" t="s">
        <v>141</v>
      </c>
      <c r="G103" s="94" t="str">
        <f t="shared" si="0"/>
        <v>ISNULL(cfuf.FIELD_VAL_5, '')</v>
      </c>
      <c r="H103" s="96" t="s">
        <v>360</v>
      </c>
      <c r="I103" s="61" t="s">
        <v>129</v>
      </c>
    </row>
    <row r="104" spans="1:9">
      <c r="A104" s="80">
        <v>30</v>
      </c>
      <c r="B104" s="81" t="s">
        <v>33</v>
      </c>
      <c r="C104" s="82"/>
      <c r="D104" s="83" t="s">
        <v>307</v>
      </c>
      <c r="E104" s="93" t="s">
        <v>228</v>
      </c>
      <c r="F104" s="92" t="s">
        <v>136</v>
      </c>
      <c r="G104" s="94" t="str">
        <f t="shared" si="0"/>
        <v>ISNULL(cfuf.FIELD_VAL_17, '')</v>
      </c>
      <c r="H104" s="88" t="s">
        <v>361</v>
      </c>
      <c r="I104" s="61" t="s">
        <v>129</v>
      </c>
    </row>
    <row r="105" spans="1:9">
      <c r="A105" s="80">
        <v>31</v>
      </c>
      <c r="B105" s="81" t="s">
        <v>34</v>
      </c>
      <c r="C105" s="82"/>
      <c r="D105" s="83" t="s">
        <v>307</v>
      </c>
      <c r="E105" s="93" t="s">
        <v>228</v>
      </c>
      <c r="F105" s="92" t="s">
        <v>174</v>
      </c>
      <c r="G105" s="94" t="str">
        <f t="shared" si="0"/>
        <v>ISNULL(cfuf.FIELD_VAL_39, '')</v>
      </c>
      <c r="H105" s="88" t="s">
        <v>362</v>
      </c>
      <c r="I105" s="61" t="s">
        <v>129</v>
      </c>
    </row>
    <row r="106" spans="1:9">
      <c r="A106" s="80">
        <v>32</v>
      </c>
      <c r="B106" s="81" t="s">
        <v>35</v>
      </c>
      <c r="C106" s="82"/>
      <c r="D106" s="83" t="s">
        <v>311</v>
      </c>
      <c r="E106" s="93" t="s">
        <v>228</v>
      </c>
      <c r="F106" s="92" t="s">
        <v>178</v>
      </c>
      <c r="G106" s="94" t="str">
        <f t="shared" si="0"/>
        <v>ISNULL(cfuf.FIELD_VAL_43, '')</v>
      </c>
      <c r="H106" s="88" t="s">
        <v>363</v>
      </c>
      <c r="I106" s="61" t="s">
        <v>129</v>
      </c>
    </row>
    <row r="107" spans="1:9">
      <c r="A107" s="80">
        <v>33</v>
      </c>
      <c r="B107" s="81" t="s">
        <v>36</v>
      </c>
      <c r="C107" s="82"/>
      <c r="D107" s="83" t="s">
        <v>307</v>
      </c>
      <c r="E107" s="93" t="s">
        <v>228</v>
      </c>
      <c r="F107" s="92" t="s">
        <v>173</v>
      </c>
      <c r="G107" s="94" t="str">
        <f t="shared" si="0"/>
        <v>ISNULL(cfuf.FIELD_VAL_38, '')</v>
      </c>
      <c r="H107" s="88" t="s">
        <v>364</v>
      </c>
      <c r="I107" s="61" t="s">
        <v>129</v>
      </c>
    </row>
    <row r="108" spans="1:9">
      <c r="A108" s="80">
        <v>34</v>
      </c>
      <c r="B108" s="81" t="s">
        <v>37</v>
      </c>
      <c r="C108" s="82"/>
      <c r="D108" s="83" t="s">
        <v>38</v>
      </c>
      <c r="E108" s="93" t="s">
        <v>228</v>
      </c>
      <c r="F108" s="92" t="s">
        <v>168</v>
      </c>
      <c r="G108" s="94" t="str">
        <f t="shared" si="0"/>
        <v>ISNULL(cfuf.FIELD_VAL_33, '')</v>
      </c>
      <c r="H108" s="88" t="s">
        <v>365</v>
      </c>
      <c r="I108" s="61" t="s">
        <v>129</v>
      </c>
    </row>
    <row r="109" spans="1:9">
      <c r="A109" s="80">
        <v>35</v>
      </c>
      <c r="B109" s="81" t="s">
        <v>39</v>
      </c>
      <c r="C109" s="82"/>
      <c r="D109" s="83" t="s">
        <v>307</v>
      </c>
      <c r="E109" s="93" t="s">
        <v>228</v>
      </c>
      <c r="F109" s="92" t="s">
        <v>176</v>
      </c>
      <c r="G109" s="94" t="str">
        <f t="shared" si="0"/>
        <v>ISNULL(cfuf.FIELD_VAL_41, '')</v>
      </c>
      <c r="H109" s="88" t="s">
        <v>366</v>
      </c>
      <c r="I109" s="61" t="s">
        <v>129</v>
      </c>
    </row>
    <row r="110" spans="1:9" ht="28.8">
      <c r="A110" s="80">
        <v>36</v>
      </c>
      <c r="B110" s="43" t="s">
        <v>40</v>
      </c>
      <c r="C110" s="82"/>
      <c r="D110" s="83" t="s">
        <v>367</v>
      </c>
      <c r="E110" s="93" t="s">
        <v>228</v>
      </c>
      <c r="F110" s="92" t="s">
        <v>160</v>
      </c>
      <c r="G110" s="94" t="str">
        <f>"ISNULL(cfuf."&amp;F110&amp;", 0)"</f>
        <v>ISNULL(cfuf.FIELD_VAL_25, 0)</v>
      </c>
      <c r="H110" s="88" t="s">
        <v>368</v>
      </c>
      <c r="I110" s="61" t="s">
        <v>129</v>
      </c>
    </row>
    <row r="111" spans="1:9">
      <c r="A111" s="80">
        <v>37</v>
      </c>
      <c r="B111" s="81" t="s">
        <v>41</v>
      </c>
      <c r="C111" s="82"/>
      <c r="D111" s="83" t="s">
        <v>369</v>
      </c>
      <c r="E111" s="93" t="s">
        <v>228</v>
      </c>
      <c r="F111" s="92" t="s">
        <v>138</v>
      </c>
      <c r="G111" s="94" t="str">
        <f>"ISNULL(cfuf."&amp;F111&amp;", '')"</f>
        <v>ISNULL(cfuf.FIELD_VAL_1, '')</v>
      </c>
      <c r="H111" s="88" t="s">
        <v>370</v>
      </c>
      <c r="I111" s="61" t="s">
        <v>129</v>
      </c>
    </row>
    <row r="112" spans="1:9">
      <c r="A112" s="80">
        <v>38</v>
      </c>
      <c r="B112" s="81" t="s">
        <v>42</v>
      </c>
      <c r="C112" s="82"/>
      <c r="D112" s="83" t="s">
        <v>369</v>
      </c>
      <c r="E112" s="93" t="s">
        <v>228</v>
      </c>
      <c r="F112" s="92" t="s">
        <v>135</v>
      </c>
      <c r="G112" s="94" t="str">
        <f>"ISNULL(cfuf."&amp;F112&amp;", '')"</f>
        <v>ISNULL(cfuf.FIELD_VAL_2, '')</v>
      </c>
      <c r="H112" s="88" t="s">
        <v>371</v>
      </c>
      <c r="I112" s="61" t="s">
        <v>129</v>
      </c>
    </row>
    <row r="113" spans="1:10">
      <c r="A113" s="80">
        <v>39</v>
      </c>
      <c r="B113" s="81" t="s">
        <v>43</v>
      </c>
      <c r="C113" s="82"/>
      <c r="D113" s="83" t="s">
        <v>307</v>
      </c>
      <c r="E113" s="93" t="s">
        <v>228</v>
      </c>
      <c r="F113" s="92" t="s">
        <v>177</v>
      </c>
      <c r="G113" s="94" t="str">
        <f t="shared" ref="G113" si="1">"ISNULL(cfuf."&amp;F113&amp;", '')"</f>
        <v>ISNULL(cfuf.FIELD_VAL_42, '')</v>
      </c>
      <c r="H113" s="88" t="s">
        <v>372</v>
      </c>
      <c r="I113" s="61" t="s">
        <v>129</v>
      </c>
    </row>
    <row r="114" spans="1:10">
      <c r="A114" s="80">
        <v>40</v>
      </c>
      <c r="B114" s="81" t="s">
        <v>44</v>
      </c>
      <c r="C114" s="82"/>
      <c r="D114" s="83" t="s">
        <v>307</v>
      </c>
      <c r="E114" s="93" t="s">
        <v>228</v>
      </c>
      <c r="F114" s="92" t="s">
        <v>182</v>
      </c>
      <c r="G114" s="94" t="str">
        <f t="shared" ref="G114" si="2">"ISNULL(cfuf."&amp;F114&amp;", '')"</f>
        <v>ISNULL(cfuf.FIELD_VAL_47, '')</v>
      </c>
      <c r="H114" s="88" t="s">
        <v>373</v>
      </c>
      <c r="I114" s="61" t="s">
        <v>129</v>
      </c>
    </row>
    <row r="115" spans="1:10">
      <c r="A115" s="80">
        <v>41</v>
      </c>
      <c r="B115" s="81" t="s">
        <v>45</v>
      </c>
      <c r="C115" s="82"/>
      <c r="D115" s="83" t="s">
        <v>330</v>
      </c>
      <c r="E115" s="84" t="s">
        <v>374</v>
      </c>
      <c r="F115" s="92" t="s">
        <v>375</v>
      </c>
      <c r="G115" s="94" t="str">
        <f>"ISNULL(mcd."&amp;F115&amp;", '')"</f>
        <v>ISNULL(mcd.COMP_MIS_8, '')</v>
      </c>
      <c r="H115" s="88" t="s">
        <v>376</v>
      </c>
      <c r="I115" s="61" t="s">
        <v>129</v>
      </c>
    </row>
    <row r="116" spans="1:10">
      <c r="A116" s="80">
        <v>42</v>
      </c>
      <c r="B116" s="81" t="s">
        <v>46</v>
      </c>
      <c r="C116" s="82"/>
      <c r="D116" s="83" t="s">
        <v>330</v>
      </c>
      <c r="E116" s="84" t="s">
        <v>374</v>
      </c>
      <c r="F116" s="92" t="s">
        <v>377</v>
      </c>
      <c r="G116" s="94" t="str">
        <f>"ISNULL(mcd."&amp;F116&amp;", '')"</f>
        <v>ISNULL(mcd.COMP_MIS_7, '')</v>
      </c>
      <c r="H116" s="88" t="s">
        <v>378</v>
      </c>
      <c r="I116" s="61" t="s">
        <v>129</v>
      </c>
      <c r="J116" s="45"/>
    </row>
    <row r="117" spans="1:10">
      <c r="A117" s="80">
        <v>43</v>
      </c>
      <c r="B117" s="81" t="s">
        <v>47</v>
      </c>
      <c r="C117" s="82"/>
      <c r="D117" s="83" t="s">
        <v>330</v>
      </c>
      <c r="E117" s="84" t="s">
        <v>374</v>
      </c>
      <c r="F117" s="92" t="s">
        <v>379</v>
      </c>
      <c r="G117" s="89" t="s">
        <v>380</v>
      </c>
      <c r="H117" s="88" t="s">
        <v>381</v>
      </c>
      <c r="I117" s="61" t="s">
        <v>129</v>
      </c>
      <c r="J117" s="45"/>
    </row>
    <row r="118" spans="1:10">
      <c r="A118" s="80">
        <v>44</v>
      </c>
      <c r="B118" s="81" t="s">
        <v>48</v>
      </c>
      <c r="C118" s="82" t="s">
        <v>382</v>
      </c>
      <c r="D118" s="83" t="s">
        <v>330</v>
      </c>
      <c r="E118" s="84" t="s">
        <v>224</v>
      </c>
      <c r="F118" s="89" t="s">
        <v>383</v>
      </c>
      <c r="G118" s="94" t="str">
        <f>"ISNULL(mcd."&amp;F118&amp;", '')"</f>
        <v>ISNULL(mcd.COMP_MIS_6, '')</v>
      </c>
      <c r="H118" s="88" t="s">
        <v>384</v>
      </c>
      <c r="I118" s="61" t="s">
        <v>129</v>
      </c>
    </row>
    <row r="119" spans="1:10" s="50" customFormat="1">
      <c r="A119" s="80">
        <v>45</v>
      </c>
      <c r="B119" s="81" t="s">
        <v>49</v>
      </c>
      <c r="C119" s="82"/>
      <c r="D119" s="83" t="s">
        <v>326</v>
      </c>
      <c r="E119" s="93" t="s">
        <v>228</v>
      </c>
      <c r="F119" s="92" t="s">
        <v>175</v>
      </c>
      <c r="G119" s="94" t="str">
        <f>"ISNULL(cfuf."&amp;F119&amp;", '')"</f>
        <v>ISNULL(cfuf.FIELD_VAL_40, '')</v>
      </c>
      <c r="H119" s="88" t="s">
        <v>385</v>
      </c>
      <c r="I119" s="61" t="s">
        <v>129</v>
      </c>
    </row>
    <row r="120" spans="1:10" ht="28.8">
      <c r="A120" s="80">
        <v>46</v>
      </c>
      <c r="B120" s="46" t="s">
        <v>50</v>
      </c>
      <c r="C120" s="47"/>
      <c r="D120" s="56" t="s">
        <v>330</v>
      </c>
      <c r="E120" s="48" t="s">
        <v>228</v>
      </c>
      <c r="F120" s="49" t="s">
        <v>180</v>
      </c>
      <c r="G120" s="54" t="str">
        <f t="shared" ref="G120:G122" si="3">"ISNULL(cfuf."&amp;F120&amp;", '')"</f>
        <v>ISNULL(cfuf.FIELD_VAL_45, '')</v>
      </c>
      <c r="H120" s="55" t="s">
        <v>386</v>
      </c>
      <c r="I120" s="53" t="s">
        <v>129</v>
      </c>
    </row>
    <row r="121" spans="1:10" ht="28.8">
      <c r="A121" s="80">
        <v>47</v>
      </c>
      <c r="B121" s="81" t="s">
        <v>51</v>
      </c>
      <c r="C121" s="82"/>
      <c r="D121" s="83" t="s">
        <v>330</v>
      </c>
      <c r="E121" s="93" t="s">
        <v>228</v>
      </c>
      <c r="F121" s="92" t="s">
        <v>181</v>
      </c>
      <c r="G121" s="94" t="str">
        <f t="shared" si="3"/>
        <v>ISNULL(cfuf.FIELD_VAL_46, '')</v>
      </c>
      <c r="H121" s="88" t="s">
        <v>387</v>
      </c>
      <c r="I121" s="61" t="s">
        <v>129</v>
      </c>
    </row>
    <row r="122" spans="1:10" ht="28.8">
      <c r="A122" s="80">
        <v>48</v>
      </c>
      <c r="B122" s="81" t="s">
        <v>52</v>
      </c>
      <c r="C122" s="82"/>
      <c r="D122" s="83" t="s">
        <v>330</v>
      </c>
      <c r="E122" s="93" t="s">
        <v>228</v>
      </c>
      <c r="F122" s="92" t="s">
        <v>183</v>
      </c>
      <c r="G122" s="94" t="str">
        <f t="shared" si="3"/>
        <v>ISNULL(cfuf.FIELD_VAL_48, '')</v>
      </c>
      <c r="H122" s="88" t="s">
        <v>388</v>
      </c>
      <c r="I122" s="61" t="s">
        <v>129</v>
      </c>
    </row>
    <row r="123" spans="1:10" ht="28.8">
      <c r="A123" s="80">
        <v>49</v>
      </c>
      <c r="B123" s="81" t="s">
        <v>53</v>
      </c>
      <c r="C123" s="82"/>
      <c r="D123" s="83" t="s">
        <v>330</v>
      </c>
      <c r="E123" s="84"/>
      <c r="F123" s="92"/>
      <c r="G123" s="89" t="s">
        <v>347</v>
      </c>
      <c r="H123" s="88" t="s">
        <v>389</v>
      </c>
      <c r="I123" s="61" t="s">
        <v>129</v>
      </c>
    </row>
    <row r="124" spans="1:10">
      <c r="A124" s="80">
        <v>50</v>
      </c>
      <c r="B124" s="81" t="s">
        <v>54</v>
      </c>
      <c r="C124" s="82" t="s">
        <v>390</v>
      </c>
      <c r="D124" s="83" t="s">
        <v>4</v>
      </c>
      <c r="E124" s="93" t="s">
        <v>228</v>
      </c>
      <c r="F124" s="97" t="s">
        <v>146</v>
      </c>
      <c r="G124" s="94" t="str">
        <f>"ISNULL(cfuf."&amp;F124&amp;", '')"</f>
        <v>ISNULL(cfuf.FIELD_VAL_10, '')</v>
      </c>
      <c r="H124" s="88" t="s">
        <v>391</v>
      </c>
      <c r="I124" s="61"/>
    </row>
    <row r="125" spans="1:10">
      <c r="A125" s="80">
        <v>51</v>
      </c>
      <c r="B125" s="81" t="s">
        <v>55</v>
      </c>
      <c r="C125" s="82"/>
      <c r="D125" s="83" t="s">
        <v>307</v>
      </c>
      <c r="E125" s="84"/>
      <c r="F125" s="98"/>
      <c r="G125" s="89" t="s">
        <v>347</v>
      </c>
      <c r="H125" s="88" t="s">
        <v>392</v>
      </c>
      <c r="I125" s="61" t="s">
        <v>129</v>
      </c>
    </row>
    <row r="126" spans="1:10">
      <c r="A126" s="80">
        <v>52</v>
      </c>
      <c r="B126" s="81" t="s">
        <v>56</v>
      </c>
      <c r="C126" s="82"/>
      <c r="D126" s="83" t="s">
        <v>307</v>
      </c>
      <c r="E126" s="93" t="s">
        <v>228</v>
      </c>
      <c r="F126" s="97" t="s">
        <v>393</v>
      </c>
      <c r="G126" s="94" t="str">
        <f>"ISNULL(cfuf."&amp;F126&amp;", '')"</f>
        <v>ISNULL(cfuf.FIELD_VAL_20, '')</v>
      </c>
      <c r="H126" s="88" t="s">
        <v>394</v>
      </c>
      <c r="I126" s="61" t="s">
        <v>129</v>
      </c>
    </row>
    <row r="127" spans="1:10">
      <c r="A127" s="80">
        <v>53</v>
      </c>
      <c r="B127" s="81" t="s">
        <v>57</v>
      </c>
      <c r="C127" s="82" t="s">
        <v>395</v>
      </c>
      <c r="D127" s="83" t="s">
        <v>367</v>
      </c>
      <c r="E127" s="93" t="s">
        <v>228</v>
      </c>
      <c r="F127" s="97" t="s">
        <v>154</v>
      </c>
      <c r="G127" s="94" t="str">
        <f>"ISNULL(cfuf."&amp;F127&amp;", 0)"</f>
        <v>ISNULL(cfuf.FIELD_VAL_19, 0)</v>
      </c>
      <c r="H127" s="88" t="s">
        <v>396</v>
      </c>
      <c r="I127" s="61" t="s">
        <v>129</v>
      </c>
    </row>
    <row r="128" spans="1:10">
      <c r="A128" s="80">
        <v>54</v>
      </c>
      <c r="B128" s="81" t="s">
        <v>58</v>
      </c>
      <c r="C128" s="82" t="s">
        <v>397</v>
      </c>
      <c r="D128" s="83" t="s">
        <v>326</v>
      </c>
      <c r="E128" s="93" t="s">
        <v>199</v>
      </c>
      <c r="F128" s="92" t="s">
        <v>398</v>
      </c>
      <c r="G128" s="94" t="s">
        <v>399</v>
      </c>
      <c r="H128" s="88" t="s">
        <v>400</v>
      </c>
      <c r="I128" s="61"/>
    </row>
    <row r="129" spans="1:9">
      <c r="A129" s="80">
        <v>55</v>
      </c>
      <c r="B129" s="81" t="s">
        <v>59</v>
      </c>
      <c r="C129" s="82" t="s">
        <v>401</v>
      </c>
      <c r="D129" s="83" t="s">
        <v>4</v>
      </c>
      <c r="E129" s="93" t="s">
        <v>228</v>
      </c>
      <c r="F129" s="97" t="s">
        <v>147</v>
      </c>
      <c r="G129" s="94" t="str">
        <f>"ISNULL(cfuf."&amp;F129&amp;", '')"</f>
        <v>ISNULL(cfuf.FIELD_VAL_11, '')</v>
      </c>
      <c r="H129" s="88" t="s">
        <v>402</v>
      </c>
      <c r="I129" s="61"/>
    </row>
    <row r="130" spans="1:9">
      <c r="A130" s="80">
        <v>56</v>
      </c>
      <c r="B130" s="81" t="s">
        <v>60</v>
      </c>
      <c r="C130" s="82"/>
      <c r="D130" s="83" t="s">
        <v>4</v>
      </c>
      <c r="E130" s="84" t="s">
        <v>199</v>
      </c>
      <c r="F130" s="92" t="s">
        <v>132</v>
      </c>
      <c r="G130" s="82" t="s">
        <v>403</v>
      </c>
      <c r="H130" s="88" t="s">
        <v>404</v>
      </c>
      <c r="I130" s="61" t="s">
        <v>129</v>
      </c>
    </row>
    <row r="131" spans="1:9">
      <c r="A131" s="80">
        <v>57</v>
      </c>
      <c r="B131" s="81" t="s">
        <v>61</v>
      </c>
      <c r="C131" s="82"/>
      <c r="D131" s="83" t="s">
        <v>4</v>
      </c>
      <c r="E131" s="84" t="s">
        <v>199</v>
      </c>
      <c r="F131" s="92" t="s">
        <v>132</v>
      </c>
      <c r="G131" s="82" t="s">
        <v>403</v>
      </c>
      <c r="H131" s="88" t="s">
        <v>405</v>
      </c>
      <c r="I131" s="61" t="s">
        <v>129</v>
      </c>
    </row>
    <row r="132" spans="1:9">
      <c r="A132" s="80">
        <v>58</v>
      </c>
      <c r="B132" s="81" t="s">
        <v>62</v>
      </c>
      <c r="C132" s="82"/>
      <c r="D132" s="83" t="s">
        <v>4</v>
      </c>
      <c r="E132" s="84" t="s">
        <v>199</v>
      </c>
      <c r="F132" s="92" t="s">
        <v>131</v>
      </c>
      <c r="G132" s="82" t="s">
        <v>406</v>
      </c>
      <c r="H132" s="88" t="s">
        <v>407</v>
      </c>
      <c r="I132" s="61"/>
    </row>
    <row r="133" spans="1:9">
      <c r="A133" s="80">
        <v>59</v>
      </c>
      <c r="B133" s="81" t="s">
        <v>63</v>
      </c>
      <c r="C133" s="82"/>
      <c r="D133" s="83" t="s">
        <v>4</v>
      </c>
      <c r="E133" s="84" t="s">
        <v>199</v>
      </c>
      <c r="F133" s="81" t="s">
        <v>63</v>
      </c>
      <c r="G133" s="94" t="str">
        <f>"ISNULL(gfac."&amp;F133&amp;", NULL)"</f>
        <v>ISNULL(gfac.LAST_REVAL_DATE, NULL)</v>
      </c>
      <c r="H133" s="88" t="s">
        <v>408</v>
      </c>
      <c r="I133" s="61" t="s">
        <v>129</v>
      </c>
    </row>
    <row r="134" spans="1:9">
      <c r="A134" s="80">
        <v>60</v>
      </c>
      <c r="B134" s="81" t="s">
        <v>64</v>
      </c>
      <c r="C134" s="82"/>
      <c r="D134" s="83" t="s">
        <v>4</v>
      </c>
      <c r="E134" s="93" t="s">
        <v>228</v>
      </c>
      <c r="F134" s="97" t="s">
        <v>149</v>
      </c>
      <c r="G134" s="94" t="str">
        <f>"ISNULL(cfuf."&amp;F134&amp;", '')"</f>
        <v>ISNULL(cfuf.FIELD_VAL_13, '')</v>
      </c>
      <c r="H134" s="88" t="s">
        <v>409</v>
      </c>
      <c r="I134" s="99" t="s">
        <v>129</v>
      </c>
    </row>
    <row r="135" spans="1:9">
      <c r="A135" s="80">
        <v>61</v>
      </c>
      <c r="B135" s="20" t="s">
        <v>65</v>
      </c>
      <c r="C135" s="82"/>
      <c r="D135" s="83" t="s">
        <v>4</v>
      </c>
      <c r="E135" s="93" t="s">
        <v>228</v>
      </c>
      <c r="F135" s="97" t="s">
        <v>148</v>
      </c>
      <c r="G135" s="94" t="str">
        <f>"ISNULL(cfuf."&amp;F135&amp;", '')"</f>
        <v>ISNULL(cfuf.FIELD_VAL_12, '')</v>
      </c>
      <c r="H135" s="100" t="s">
        <v>410</v>
      </c>
      <c r="I135" s="99" t="s">
        <v>129</v>
      </c>
    </row>
    <row r="136" spans="1:9" ht="28.8">
      <c r="A136" s="80">
        <v>62</v>
      </c>
      <c r="B136" s="65" t="s">
        <v>66</v>
      </c>
      <c r="C136" s="82"/>
      <c r="D136" s="83" t="s">
        <v>4</v>
      </c>
      <c r="E136" s="93" t="s">
        <v>228</v>
      </c>
      <c r="F136" s="97" t="s">
        <v>167</v>
      </c>
      <c r="G136" s="94" t="str">
        <f>"ISNULL(cfuf."&amp;F136&amp;", '')"</f>
        <v>ISNULL(cfuf.FIELD_VAL_32, '')</v>
      </c>
      <c r="H136" s="83" t="s">
        <v>411</v>
      </c>
      <c r="I136" s="99" t="s">
        <v>129</v>
      </c>
    </row>
    <row r="137" spans="1:9" ht="28.8">
      <c r="A137" s="80">
        <v>63</v>
      </c>
      <c r="B137" s="65" t="s">
        <v>67</v>
      </c>
      <c r="C137" s="82"/>
      <c r="D137" s="83" t="s">
        <v>4</v>
      </c>
      <c r="E137" s="93" t="s">
        <v>228</v>
      </c>
      <c r="F137" s="97" t="s">
        <v>169</v>
      </c>
      <c r="G137" s="94" t="str">
        <f>"ISNULL(cfuf."&amp;F137&amp;", '')"</f>
        <v>ISNULL(cfuf.FIELD_VAL_34, '')</v>
      </c>
      <c r="H137" s="83" t="s">
        <v>412</v>
      </c>
      <c r="I137" s="99" t="s">
        <v>129</v>
      </c>
    </row>
    <row r="138" spans="1:9">
      <c r="A138" s="80">
        <v>64</v>
      </c>
      <c r="B138" s="81" t="s">
        <v>68</v>
      </c>
      <c r="C138" s="82"/>
      <c r="D138" s="83" t="s">
        <v>4</v>
      </c>
      <c r="E138" s="93" t="s">
        <v>228</v>
      </c>
      <c r="F138" s="97" t="s">
        <v>165</v>
      </c>
      <c r="G138" s="94" t="str">
        <f>"ISNULL(cfuf."&amp;F138&amp;", '')"</f>
        <v>ISNULL(cfuf.FIELD_VAL_30, '')</v>
      </c>
      <c r="H138" s="88" t="s">
        <v>413</v>
      </c>
      <c r="I138" s="99" t="s">
        <v>129</v>
      </c>
    </row>
    <row r="139" spans="1:9">
      <c r="A139" s="80">
        <v>65</v>
      </c>
      <c r="B139" s="65" t="s">
        <v>69</v>
      </c>
      <c r="C139" s="82"/>
      <c r="D139" s="83" t="s">
        <v>367</v>
      </c>
      <c r="E139" s="93" t="s">
        <v>228</v>
      </c>
      <c r="F139" s="97" t="s">
        <v>158</v>
      </c>
      <c r="G139" s="94" t="str">
        <f>"ISNULL(cfuf."&amp;F139&amp;", 0)"</f>
        <v>ISNULL(cfuf.FIELD_VAL_23, 0)</v>
      </c>
      <c r="H139" s="83" t="s">
        <v>414</v>
      </c>
      <c r="I139" s="99" t="s">
        <v>129</v>
      </c>
    </row>
    <row r="140" spans="1:9" ht="28.8">
      <c r="A140" s="80">
        <v>66</v>
      </c>
      <c r="B140" s="65" t="s">
        <v>70</v>
      </c>
      <c r="C140" s="82"/>
      <c r="D140" s="83" t="s">
        <v>4</v>
      </c>
      <c r="E140" s="93" t="s">
        <v>228</v>
      </c>
      <c r="F140" s="97" t="s">
        <v>161</v>
      </c>
      <c r="G140" s="94" t="str">
        <f>"ISNULL(cfuf."&amp;F140&amp;", '')"</f>
        <v>ISNULL(cfuf.FIELD_VAL_26, '')</v>
      </c>
      <c r="H140" s="83" t="s">
        <v>415</v>
      </c>
      <c r="I140" s="99" t="s">
        <v>129</v>
      </c>
    </row>
    <row r="141" spans="1:9">
      <c r="A141" s="80">
        <v>67</v>
      </c>
      <c r="B141" s="65" t="s">
        <v>71</v>
      </c>
      <c r="C141" s="82"/>
      <c r="D141" s="83" t="s">
        <v>4</v>
      </c>
      <c r="E141" s="84" t="s">
        <v>308</v>
      </c>
      <c r="F141" s="92" t="s">
        <v>134</v>
      </c>
      <c r="G141" s="94" t="str">
        <f>"ISNULL(scus."&amp;F141&amp;", '')"</f>
        <v>ISNULL(scus.REVISION_DATE, '')</v>
      </c>
      <c r="H141" s="83" t="s">
        <v>416</v>
      </c>
      <c r="I141" s="99" t="s">
        <v>129</v>
      </c>
    </row>
    <row r="142" spans="1:9">
      <c r="A142" s="80">
        <v>68</v>
      </c>
      <c r="B142" s="81" t="s">
        <v>72</v>
      </c>
      <c r="C142" s="82"/>
      <c r="D142" s="83" t="s">
        <v>326</v>
      </c>
      <c r="E142" s="84" t="s">
        <v>199</v>
      </c>
      <c r="F142" s="92" t="s">
        <v>188</v>
      </c>
      <c r="G142" s="94" t="s">
        <v>417</v>
      </c>
      <c r="H142" s="88" t="s">
        <v>418</v>
      </c>
      <c r="I142" s="61" t="s">
        <v>129</v>
      </c>
    </row>
    <row r="143" spans="1:9" ht="144">
      <c r="A143" s="80">
        <v>69</v>
      </c>
      <c r="B143" s="81" t="s">
        <v>73</v>
      </c>
      <c r="C143" s="82"/>
      <c r="D143" s="83" t="s">
        <v>367</v>
      </c>
      <c r="E143" s="93" t="s">
        <v>419</v>
      </c>
      <c r="F143" s="95" t="s">
        <v>420</v>
      </c>
      <c r="G143" s="82" t="s">
        <v>421</v>
      </c>
      <c r="H143" s="88" t="s">
        <v>422</v>
      </c>
      <c r="I143" s="61" t="s">
        <v>129</v>
      </c>
    </row>
    <row r="144" spans="1:9">
      <c r="A144" s="80">
        <v>70</v>
      </c>
      <c r="B144" s="81" t="s">
        <v>74</v>
      </c>
      <c r="C144" s="82"/>
      <c r="D144" s="83" t="s">
        <v>369</v>
      </c>
      <c r="E144" s="93" t="s">
        <v>228</v>
      </c>
      <c r="F144" s="97" t="s">
        <v>170</v>
      </c>
      <c r="G144" s="94" t="str">
        <f>"ISNULL(cfuf."&amp;F144&amp;", '')"</f>
        <v>ISNULL(cfuf.FIELD_VAL_35, '')</v>
      </c>
      <c r="H144" s="88" t="s">
        <v>423</v>
      </c>
      <c r="I144" s="61" t="s">
        <v>129</v>
      </c>
    </row>
    <row r="145" spans="1:9">
      <c r="A145" s="80">
        <v>71</v>
      </c>
      <c r="B145" s="81" t="s">
        <v>75</v>
      </c>
      <c r="C145" s="82" t="s">
        <v>424</v>
      </c>
      <c r="D145" s="83" t="s">
        <v>38</v>
      </c>
      <c r="E145" s="93" t="s">
        <v>228</v>
      </c>
      <c r="F145" s="97" t="s">
        <v>150</v>
      </c>
      <c r="G145" s="94" t="str">
        <f>"ISNULL(cfuf."&amp;F145&amp;", '')"</f>
        <v>ISNULL(cfuf.FIELD_VAL_14, '')</v>
      </c>
      <c r="H145" s="88" t="s">
        <v>425</v>
      </c>
      <c r="I145" s="61"/>
    </row>
    <row r="146" spans="1:9">
      <c r="A146" s="80">
        <v>72</v>
      </c>
      <c r="B146" s="81" t="s">
        <v>76</v>
      </c>
      <c r="C146" s="82" t="s">
        <v>426</v>
      </c>
      <c r="D146" s="83" t="s">
        <v>427</v>
      </c>
      <c r="E146" s="93" t="s">
        <v>228</v>
      </c>
      <c r="F146" s="97" t="s">
        <v>153</v>
      </c>
      <c r="G146" s="94" t="str">
        <f>"ISNULL(cfuf."&amp;F146&amp;", 0)"</f>
        <v>ISNULL(cfuf.FIELD_VAL_18, 0)</v>
      </c>
      <c r="H146" s="88" t="s">
        <v>428</v>
      </c>
      <c r="I146" s="61" t="s">
        <v>129</v>
      </c>
    </row>
    <row r="147" spans="1:9">
      <c r="A147" s="80">
        <v>73</v>
      </c>
      <c r="B147" s="81" t="s">
        <v>77</v>
      </c>
      <c r="C147" s="82"/>
      <c r="D147" s="83" t="s">
        <v>427</v>
      </c>
      <c r="E147" s="93" t="s">
        <v>228</v>
      </c>
      <c r="F147" s="97" t="s">
        <v>164</v>
      </c>
      <c r="G147" s="94" t="str">
        <f>"ISNULL(cfuf."&amp;F147&amp;", 0)"</f>
        <v>ISNULL(cfuf.FIELD_VAL_29, 0)</v>
      </c>
      <c r="H147" s="88" t="s">
        <v>429</v>
      </c>
      <c r="I147" s="61" t="s">
        <v>129</v>
      </c>
    </row>
    <row r="148" spans="1:9" ht="28.8">
      <c r="A148" s="80">
        <v>74</v>
      </c>
      <c r="B148" s="81" t="s">
        <v>78</v>
      </c>
      <c r="C148" s="82" t="s">
        <v>430</v>
      </c>
      <c r="D148" s="83" t="s">
        <v>326</v>
      </c>
      <c r="E148" s="84"/>
      <c r="F148" s="92"/>
      <c r="G148" s="89" t="s">
        <v>347</v>
      </c>
      <c r="H148" s="88" t="s">
        <v>355</v>
      </c>
      <c r="I148" s="61" t="s">
        <v>129</v>
      </c>
    </row>
    <row r="149" spans="1:9" ht="28.8">
      <c r="A149" s="80">
        <v>75</v>
      </c>
      <c r="B149" s="81" t="s">
        <v>79</v>
      </c>
      <c r="C149" s="82"/>
      <c r="D149" s="83" t="s">
        <v>356</v>
      </c>
      <c r="E149" s="84" t="s">
        <v>199</v>
      </c>
      <c r="F149" s="92" t="s">
        <v>431</v>
      </c>
      <c r="G149" s="89" t="s">
        <v>432</v>
      </c>
      <c r="H149" s="88" t="s">
        <v>433</v>
      </c>
      <c r="I149" s="61"/>
    </row>
    <row r="150" spans="1:9">
      <c r="A150" s="80">
        <v>76</v>
      </c>
      <c r="B150" s="81" t="s">
        <v>80</v>
      </c>
      <c r="C150" s="82" t="s">
        <v>434</v>
      </c>
      <c r="D150" s="83" t="s">
        <v>367</v>
      </c>
      <c r="E150" s="93" t="s">
        <v>228</v>
      </c>
      <c r="F150" s="97" t="s">
        <v>155</v>
      </c>
      <c r="G150" s="94" t="str">
        <f>"ISNULL(cfuf."&amp;F150&amp;", 0)"</f>
        <v>ISNULL(cfuf.FIELD_VAL_21, 0)</v>
      </c>
      <c r="H150" s="88" t="s">
        <v>435</v>
      </c>
      <c r="I150" s="61"/>
    </row>
    <row r="151" spans="1:9" ht="201.6">
      <c r="A151" s="80">
        <v>77</v>
      </c>
      <c r="B151" s="81" t="s">
        <v>81</v>
      </c>
      <c r="C151" s="82" t="s">
        <v>436</v>
      </c>
      <c r="D151" s="83" t="s">
        <v>367</v>
      </c>
      <c r="E151" s="93" t="s">
        <v>437</v>
      </c>
      <c r="F151" s="95" t="s">
        <v>438</v>
      </c>
      <c r="G151" s="82" t="s">
        <v>439</v>
      </c>
      <c r="H151" s="88" t="s">
        <v>440</v>
      </c>
      <c r="I151" s="61"/>
    </row>
    <row r="152" spans="1:9" ht="72">
      <c r="A152" s="80">
        <v>78</v>
      </c>
      <c r="B152" s="81" t="s">
        <v>82</v>
      </c>
      <c r="C152" s="82" t="s">
        <v>441</v>
      </c>
      <c r="D152" s="83" t="s">
        <v>367</v>
      </c>
      <c r="E152" s="84" t="s">
        <v>199</v>
      </c>
      <c r="F152" s="89" t="s">
        <v>442</v>
      </c>
      <c r="G152" s="82" t="s">
        <v>443</v>
      </c>
      <c r="H152" s="88" t="s">
        <v>444</v>
      </c>
      <c r="I152" s="61"/>
    </row>
    <row r="153" spans="1:9" ht="144">
      <c r="A153" s="80">
        <v>79</v>
      </c>
      <c r="B153" s="81" t="s">
        <v>83</v>
      </c>
      <c r="C153" s="82" t="s">
        <v>445</v>
      </c>
      <c r="D153" s="83" t="s">
        <v>367</v>
      </c>
      <c r="E153" s="93" t="s">
        <v>446</v>
      </c>
      <c r="F153" s="95" t="s">
        <v>447</v>
      </c>
      <c r="G153" s="82" t="s">
        <v>448</v>
      </c>
      <c r="H153" s="88" t="s">
        <v>449</v>
      </c>
      <c r="I153" s="61"/>
    </row>
    <row r="154" spans="1:9" ht="158.4">
      <c r="A154" s="80">
        <v>80</v>
      </c>
      <c r="B154" s="81" t="s">
        <v>84</v>
      </c>
      <c r="C154" s="82"/>
      <c r="D154" s="83" t="s">
        <v>367</v>
      </c>
      <c r="E154" s="93" t="s">
        <v>450</v>
      </c>
      <c r="F154" s="95" t="s">
        <v>420</v>
      </c>
      <c r="G154" s="82" t="s">
        <v>451</v>
      </c>
      <c r="H154" s="88" t="s">
        <v>452</v>
      </c>
      <c r="I154" s="61" t="s">
        <v>129</v>
      </c>
    </row>
    <row r="155" spans="1:9" ht="72">
      <c r="A155" s="80">
        <v>81</v>
      </c>
      <c r="B155" s="81" t="s">
        <v>85</v>
      </c>
      <c r="C155" s="82"/>
      <c r="D155" s="83" t="s">
        <v>367</v>
      </c>
      <c r="E155" s="84" t="s">
        <v>199</v>
      </c>
      <c r="F155" s="89" t="s">
        <v>137</v>
      </c>
      <c r="G155" s="82" t="s">
        <v>453</v>
      </c>
      <c r="H155" s="88" t="s">
        <v>454</v>
      </c>
      <c r="I155" s="61" t="s">
        <v>129</v>
      </c>
    </row>
    <row r="156" spans="1:9" ht="273.60000000000002">
      <c r="A156" s="80">
        <v>82</v>
      </c>
      <c r="B156" s="81" t="s">
        <v>86</v>
      </c>
      <c r="C156" s="82"/>
      <c r="D156" s="83" t="s">
        <v>367</v>
      </c>
      <c r="E156" s="93" t="s">
        <v>455</v>
      </c>
      <c r="F156" s="95" t="s">
        <v>456</v>
      </c>
      <c r="G156" s="94" t="s">
        <v>457</v>
      </c>
      <c r="H156" s="88" t="s">
        <v>458</v>
      </c>
      <c r="I156" s="61" t="s">
        <v>129</v>
      </c>
    </row>
    <row r="157" spans="1:9" ht="115.2">
      <c r="A157" s="80">
        <v>83</v>
      </c>
      <c r="B157" s="81" t="s">
        <v>87</v>
      </c>
      <c r="C157" s="82"/>
      <c r="D157" s="83" t="s">
        <v>367</v>
      </c>
      <c r="E157" s="93" t="s">
        <v>459</v>
      </c>
      <c r="F157" s="89" t="s">
        <v>460</v>
      </c>
      <c r="G157" s="82" t="s">
        <v>461</v>
      </c>
      <c r="H157" s="88" t="s">
        <v>462</v>
      </c>
      <c r="I157" s="61" t="s">
        <v>129</v>
      </c>
    </row>
    <row r="158" spans="1:9">
      <c r="A158" s="80">
        <v>84</v>
      </c>
      <c r="B158" s="81" t="s">
        <v>88</v>
      </c>
      <c r="C158" s="82"/>
      <c r="D158" s="83" t="s">
        <v>4</v>
      </c>
      <c r="E158" s="93" t="s">
        <v>228</v>
      </c>
      <c r="F158" s="92" t="s">
        <v>139</v>
      </c>
      <c r="G158" s="94" t="str">
        <f>"ISNULL(cfuf."&amp;F158&amp;", '')"</f>
        <v>ISNULL(cfuf.FIELD_VAL_3, '')</v>
      </c>
      <c r="H158" s="88" t="s">
        <v>463</v>
      </c>
      <c r="I158" s="61" t="s">
        <v>129</v>
      </c>
    </row>
    <row r="159" spans="1:9" ht="144">
      <c r="A159" s="80">
        <v>85</v>
      </c>
      <c r="B159" s="81" t="s">
        <v>89</v>
      </c>
      <c r="C159" s="82"/>
      <c r="D159" s="83" t="s">
        <v>367</v>
      </c>
      <c r="E159" s="93" t="s">
        <v>464</v>
      </c>
      <c r="F159" s="95" t="s">
        <v>465</v>
      </c>
      <c r="G159" s="82" t="s">
        <v>466</v>
      </c>
      <c r="H159" s="88" t="s">
        <v>467</v>
      </c>
      <c r="I159" s="61" t="s">
        <v>129</v>
      </c>
    </row>
    <row r="160" spans="1:9" ht="72">
      <c r="A160" s="80">
        <v>86</v>
      </c>
      <c r="B160" s="101" t="s">
        <v>90</v>
      </c>
      <c r="C160" s="82"/>
      <c r="D160" s="83" t="s">
        <v>367</v>
      </c>
      <c r="E160" s="84" t="s">
        <v>199</v>
      </c>
      <c r="F160" s="89" t="s">
        <v>468</v>
      </c>
      <c r="G160" s="82" t="s">
        <v>469</v>
      </c>
      <c r="H160" s="88" t="s">
        <v>470</v>
      </c>
      <c r="I160" s="61" t="s">
        <v>129</v>
      </c>
    </row>
    <row r="161" spans="1:9" ht="28.8">
      <c r="A161" s="80">
        <v>87</v>
      </c>
      <c r="B161" s="101" t="s">
        <v>91</v>
      </c>
      <c r="C161" s="102" t="s">
        <v>471</v>
      </c>
      <c r="D161" s="83" t="s">
        <v>367</v>
      </c>
      <c r="E161" s="84"/>
      <c r="F161" s="89"/>
      <c r="G161" s="89" t="s">
        <v>472</v>
      </c>
      <c r="H161" s="88" t="s">
        <v>473</v>
      </c>
      <c r="I161" s="61" t="s">
        <v>129</v>
      </c>
    </row>
    <row r="162" spans="1:9" ht="28.8">
      <c r="A162" s="80">
        <v>88</v>
      </c>
      <c r="B162" s="101" t="s">
        <v>92</v>
      </c>
      <c r="C162" s="102" t="s">
        <v>471</v>
      </c>
      <c r="D162" s="83" t="s">
        <v>367</v>
      </c>
      <c r="E162" s="84"/>
      <c r="F162" s="89"/>
      <c r="G162" s="89" t="s">
        <v>472</v>
      </c>
      <c r="H162" s="88" t="s">
        <v>355</v>
      </c>
      <c r="I162" s="61" t="s">
        <v>129</v>
      </c>
    </row>
    <row r="163" spans="1:9" ht="28.8">
      <c r="A163" s="80">
        <v>89</v>
      </c>
      <c r="B163" s="101" t="s">
        <v>93</v>
      </c>
      <c r="C163" s="102" t="s">
        <v>474</v>
      </c>
      <c r="D163" s="83" t="s">
        <v>367</v>
      </c>
      <c r="E163" s="84"/>
      <c r="F163" s="89"/>
      <c r="G163" s="89" t="s">
        <v>472</v>
      </c>
      <c r="H163" s="88" t="s">
        <v>355</v>
      </c>
      <c r="I163" s="61" t="s">
        <v>129</v>
      </c>
    </row>
    <row r="164" spans="1:9" ht="28.8">
      <c r="A164" s="80">
        <v>90</v>
      </c>
      <c r="B164" s="101" t="s">
        <v>94</v>
      </c>
      <c r="C164" s="102" t="s">
        <v>475</v>
      </c>
      <c r="D164" s="83" t="s">
        <v>367</v>
      </c>
      <c r="E164" s="84"/>
      <c r="F164" s="89"/>
      <c r="G164" s="89" t="s">
        <v>472</v>
      </c>
      <c r="H164" s="88" t="s">
        <v>355</v>
      </c>
      <c r="I164" s="61" t="s">
        <v>129</v>
      </c>
    </row>
    <row r="165" spans="1:9" ht="28.8">
      <c r="A165" s="80">
        <v>91</v>
      </c>
      <c r="B165" s="81" t="s">
        <v>95</v>
      </c>
      <c r="C165" s="102" t="s">
        <v>476</v>
      </c>
      <c r="D165" s="83" t="s">
        <v>367</v>
      </c>
      <c r="E165" s="84"/>
      <c r="F165" s="89"/>
      <c r="G165" s="89" t="s">
        <v>472</v>
      </c>
      <c r="H165" s="88" t="s">
        <v>355</v>
      </c>
      <c r="I165" s="61" t="s">
        <v>129</v>
      </c>
    </row>
    <row r="166" spans="1:9" ht="28.8">
      <c r="A166" s="80">
        <v>92</v>
      </c>
      <c r="B166" s="81" t="s">
        <v>96</v>
      </c>
      <c r="C166" s="82" t="s">
        <v>476</v>
      </c>
      <c r="D166" s="83" t="s">
        <v>367</v>
      </c>
      <c r="E166" s="84"/>
      <c r="F166" s="89"/>
      <c r="G166" s="89" t="s">
        <v>472</v>
      </c>
      <c r="H166" s="88" t="s">
        <v>355</v>
      </c>
      <c r="I166" s="61" t="s">
        <v>129</v>
      </c>
    </row>
    <row r="167" spans="1:9" ht="28.8">
      <c r="A167" s="80">
        <v>93</v>
      </c>
      <c r="B167" t="s">
        <v>97</v>
      </c>
      <c r="C167" s="82"/>
      <c r="D167" s="83" t="s">
        <v>367</v>
      </c>
      <c r="E167" s="84"/>
      <c r="F167" s="89"/>
      <c r="G167" s="89" t="s">
        <v>472</v>
      </c>
      <c r="H167" s="88" t="s">
        <v>477</v>
      </c>
      <c r="I167" s="61" t="s">
        <v>129</v>
      </c>
    </row>
    <row r="168" spans="1:9" ht="144">
      <c r="A168" s="80">
        <v>94</v>
      </c>
      <c r="B168" s="81" t="s">
        <v>98</v>
      </c>
      <c r="C168" s="82" t="s">
        <v>478</v>
      </c>
      <c r="D168" s="83" t="s">
        <v>367</v>
      </c>
      <c r="E168" s="84"/>
      <c r="F168" s="89"/>
      <c r="G168" s="82" t="s">
        <v>479</v>
      </c>
      <c r="H168" s="88" t="s">
        <v>480</v>
      </c>
      <c r="I168" s="61" t="s">
        <v>129</v>
      </c>
    </row>
    <row r="169" spans="1:9">
      <c r="A169" s="80">
        <v>95</v>
      </c>
      <c r="B169" s="81" t="s">
        <v>99</v>
      </c>
      <c r="C169" s="82" t="s">
        <v>478</v>
      </c>
      <c r="D169" s="83" t="s">
        <v>307</v>
      </c>
      <c r="E169" s="93" t="s">
        <v>199</v>
      </c>
      <c r="F169" s="95" t="s">
        <v>481</v>
      </c>
      <c r="G169" s="82" t="s">
        <v>482</v>
      </c>
      <c r="H169" s="88" t="s">
        <v>483</v>
      </c>
      <c r="I169" s="61" t="s">
        <v>129</v>
      </c>
    </row>
    <row r="170" spans="1:9">
      <c r="A170" s="80">
        <v>96</v>
      </c>
      <c r="B170" s="81" t="s">
        <v>100</v>
      </c>
      <c r="C170" s="82"/>
      <c r="D170" s="83" t="s">
        <v>311</v>
      </c>
      <c r="E170" s="93" t="s">
        <v>228</v>
      </c>
      <c r="F170" s="97" t="s">
        <v>142</v>
      </c>
      <c r="G170" s="94" t="str">
        <f>"ISNULL(cfuf."&amp;F170&amp;", '')"</f>
        <v>ISNULL(cfuf.FIELD_VAL_6, '')</v>
      </c>
      <c r="H170" s="88" t="s">
        <v>484</v>
      </c>
      <c r="I170" s="61" t="s">
        <v>129</v>
      </c>
    </row>
    <row r="171" spans="1:9">
      <c r="A171" s="80">
        <v>97</v>
      </c>
      <c r="B171" s="81" t="s">
        <v>101</v>
      </c>
      <c r="C171" s="82"/>
      <c r="D171" s="83" t="s">
        <v>307</v>
      </c>
      <c r="E171" s="93" t="s">
        <v>228</v>
      </c>
      <c r="F171" s="97" t="s">
        <v>177</v>
      </c>
      <c r="G171" s="94" t="str">
        <f>"ISNULL(cfuf."&amp;F171&amp;", '')"</f>
        <v>ISNULL(cfuf.FIELD_VAL_42, '')</v>
      </c>
      <c r="H171" s="88" t="s">
        <v>485</v>
      </c>
      <c r="I171" s="61" t="s">
        <v>129</v>
      </c>
    </row>
    <row r="172" spans="1:9">
      <c r="A172" s="80">
        <v>98</v>
      </c>
      <c r="B172" s="81" t="s">
        <v>102</v>
      </c>
      <c r="C172" s="82"/>
      <c r="D172" s="83" t="s">
        <v>307</v>
      </c>
      <c r="E172" s="84"/>
      <c r="F172" s="85"/>
      <c r="G172" s="89" t="s">
        <v>347</v>
      </c>
      <c r="H172" s="88" t="s">
        <v>486</v>
      </c>
      <c r="I172" s="61" t="s">
        <v>129</v>
      </c>
    </row>
    <row r="173" spans="1:9" ht="28.8">
      <c r="A173" s="80">
        <v>99</v>
      </c>
      <c r="B173" s="81" t="s">
        <v>103</v>
      </c>
      <c r="C173" s="82"/>
      <c r="D173" s="83" t="s">
        <v>311</v>
      </c>
      <c r="E173" s="84" t="s">
        <v>199</v>
      </c>
      <c r="F173" s="85" t="s">
        <v>103</v>
      </c>
      <c r="G173" s="81" t="s">
        <v>487</v>
      </c>
      <c r="H173" s="88" t="s">
        <v>433</v>
      </c>
      <c r="I173" s="61" t="s">
        <v>129</v>
      </c>
    </row>
    <row r="174" spans="1:9">
      <c r="A174" s="80">
        <v>100</v>
      </c>
      <c r="B174" s="81" t="s">
        <v>104</v>
      </c>
      <c r="C174" s="82"/>
      <c r="D174" s="83" t="s">
        <v>330</v>
      </c>
      <c r="E174" s="84"/>
      <c r="F174" s="85"/>
      <c r="G174" s="81" t="s">
        <v>488</v>
      </c>
      <c r="H174" s="88" t="s">
        <v>489</v>
      </c>
      <c r="I174" s="61" t="s">
        <v>129</v>
      </c>
    </row>
    <row r="175" spans="1:9" ht="43.2">
      <c r="A175" s="80">
        <v>101</v>
      </c>
      <c r="B175" s="81" t="s">
        <v>105</v>
      </c>
      <c r="C175" s="82"/>
      <c r="D175" s="83" t="s">
        <v>311</v>
      </c>
      <c r="E175" s="84" t="s">
        <v>199</v>
      </c>
      <c r="F175" s="85" t="s">
        <v>127</v>
      </c>
      <c r="G175" s="81" t="s">
        <v>490</v>
      </c>
      <c r="H175" s="88" t="s">
        <v>491</v>
      </c>
      <c r="I175" s="61" t="s">
        <v>129</v>
      </c>
    </row>
    <row r="176" spans="1:9">
      <c r="A176" s="80">
        <v>102</v>
      </c>
      <c r="B176" s="81" t="s">
        <v>106</v>
      </c>
      <c r="C176" s="82"/>
      <c r="D176" s="83" t="s">
        <v>311</v>
      </c>
      <c r="E176" s="84" t="s">
        <v>308</v>
      </c>
      <c r="F176" s="85" t="s">
        <v>106</v>
      </c>
      <c r="G176" s="94" t="str">
        <f>"ISNULL(cg."&amp;F176&amp;", '')"</f>
        <v>ISNULL(cg.GROUP_ID, '')</v>
      </c>
      <c r="H176" s="88" t="s">
        <v>492</v>
      </c>
      <c r="I176" s="61"/>
    </row>
    <row r="177" spans="1:9" ht="28.8">
      <c r="A177" s="80">
        <v>103</v>
      </c>
      <c r="B177" s="81" t="s">
        <v>107</v>
      </c>
      <c r="C177" s="82"/>
      <c r="D177" s="83" t="s">
        <v>307</v>
      </c>
      <c r="E177" s="84" t="s">
        <v>493</v>
      </c>
      <c r="F177" s="89" t="s">
        <v>494</v>
      </c>
      <c r="G177" s="90" t="s">
        <v>495</v>
      </c>
      <c r="H177" s="88" t="s">
        <v>496</v>
      </c>
      <c r="I177" s="61" t="s">
        <v>129</v>
      </c>
    </row>
    <row r="178" spans="1:9">
      <c r="A178" s="80">
        <v>104</v>
      </c>
      <c r="B178" s="81" t="s">
        <v>108</v>
      </c>
      <c r="C178" s="82"/>
      <c r="D178" s="83" t="s">
        <v>330</v>
      </c>
      <c r="E178" s="84"/>
      <c r="F178" s="89"/>
      <c r="G178" s="89" t="s">
        <v>347</v>
      </c>
      <c r="H178" s="88" t="s">
        <v>497</v>
      </c>
      <c r="I178" s="61" t="s">
        <v>129</v>
      </c>
    </row>
    <row r="179" spans="1:9">
      <c r="A179" s="80">
        <v>105</v>
      </c>
      <c r="B179" s="81" t="s">
        <v>109</v>
      </c>
      <c r="C179" s="82"/>
      <c r="D179" s="83" t="s">
        <v>304</v>
      </c>
      <c r="E179" s="93" t="s">
        <v>228</v>
      </c>
      <c r="F179" s="97" t="s">
        <v>171</v>
      </c>
      <c r="G179" s="94" t="str">
        <f>"ISNULL(cfuf."&amp;F179&amp;", '')"</f>
        <v>ISNULL(cfuf.FIELD_VAL_36, '')</v>
      </c>
      <c r="H179" s="103" t="s">
        <v>498</v>
      </c>
      <c r="I179" s="61" t="s">
        <v>129</v>
      </c>
    </row>
    <row r="180" spans="1:9">
      <c r="A180" s="80">
        <v>106</v>
      </c>
      <c r="B180" s="81" t="s">
        <v>110</v>
      </c>
      <c r="C180" s="82"/>
      <c r="D180" s="83" t="s">
        <v>326</v>
      </c>
      <c r="E180" s="93" t="s">
        <v>228</v>
      </c>
      <c r="F180" s="97" t="s">
        <v>166</v>
      </c>
      <c r="G180" s="94" t="str">
        <f>"ISNULL(cfuf."&amp;F180&amp;", '')"</f>
        <v>ISNULL(cfuf.FIELD_VAL_31, '')</v>
      </c>
      <c r="H180" s="88" t="s">
        <v>499</v>
      </c>
      <c r="I180" s="61" t="s">
        <v>129</v>
      </c>
    </row>
    <row r="181" spans="1:9">
      <c r="A181" s="80">
        <v>107</v>
      </c>
      <c r="B181" s="81" t="s">
        <v>111</v>
      </c>
      <c r="C181" s="82"/>
      <c r="D181" s="83" t="s">
        <v>427</v>
      </c>
      <c r="E181" s="84"/>
      <c r="F181" s="89"/>
      <c r="G181" s="89" t="s">
        <v>472</v>
      </c>
      <c r="H181" s="88" t="s">
        <v>500</v>
      </c>
      <c r="I181" s="61" t="s">
        <v>129</v>
      </c>
    </row>
    <row r="182" spans="1:9" ht="28.8">
      <c r="A182" s="80">
        <v>108</v>
      </c>
      <c r="B182" s="81" t="s">
        <v>112</v>
      </c>
      <c r="C182" s="82"/>
      <c r="D182" s="83" t="s">
        <v>330</v>
      </c>
      <c r="E182" s="84"/>
      <c r="F182" s="89"/>
      <c r="G182" s="89" t="s">
        <v>347</v>
      </c>
      <c r="H182" s="88" t="s">
        <v>501</v>
      </c>
      <c r="I182" s="61" t="s">
        <v>129</v>
      </c>
    </row>
    <row r="183" spans="1:9">
      <c r="A183" s="80">
        <v>109</v>
      </c>
      <c r="B183" s="81" t="s">
        <v>113</v>
      </c>
      <c r="C183" s="82" t="s">
        <v>502</v>
      </c>
      <c r="D183" s="83" t="s">
        <v>304</v>
      </c>
      <c r="E183" s="93" t="s">
        <v>228</v>
      </c>
      <c r="F183" s="97" t="s">
        <v>140</v>
      </c>
      <c r="G183" s="94" t="str">
        <f>"ISNULL(cfuf."&amp;F183&amp;", '')"</f>
        <v>ISNULL(cfuf.FIELD_VAL_4, '')</v>
      </c>
      <c r="H183" s="88" t="s">
        <v>503</v>
      </c>
      <c r="I183" s="61" t="s">
        <v>129</v>
      </c>
    </row>
    <row r="184" spans="1:9">
      <c r="A184" s="80">
        <v>110</v>
      </c>
      <c r="B184" s="81" t="s">
        <v>114</v>
      </c>
      <c r="C184" s="82"/>
      <c r="D184" s="83" t="s">
        <v>504</v>
      </c>
      <c r="E184" s="84"/>
      <c r="F184" s="89"/>
      <c r="G184" s="82" t="s">
        <v>347</v>
      </c>
      <c r="H184" s="88" t="s">
        <v>505</v>
      </c>
      <c r="I184" s="61" t="s">
        <v>129</v>
      </c>
    </row>
    <row r="185" spans="1:9">
      <c r="A185" s="80">
        <v>111</v>
      </c>
      <c r="B185" s="81" t="s">
        <v>115</v>
      </c>
      <c r="C185" s="82"/>
      <c r="D185" s="83" t="s">
        <v>504</v>
      </c>
      <c r="E185" s="93" t="s">
        <v>228</v>
      </c>
      <c r="F185" s="97" t="s">
        <v>145</v>
      </c>
      <c r="G185" s="94" t="str">
        <f>"ISNULL(cfuf."&amp;F185&amp;", '')"</f>
        <v>ISNULL(cfuf.FIELD_VAL_9, '')</v>
      </c>
      <c r="H185" s="88" t="s">
        <v>506</v>
      </c>
      <c r="I185" s="61" t="s">
        <v>129</v>
      </c>
    </row>
    <row r="186" spans="1:9">
      <c r="A186" s="80">
        <v>112</v>
      </c>
      <c r="B186" s="81" t="s">
        <v>116</v>
      </c>
      <c r="C186" s="82"/>
      <c r="D186" s="83" t="s">
        <v>504</v>
      </c>
      <c r="E186" s="93" t="s">
        <v>228</v>
      </c>
      <c r="F186" s="97" t="s">
        <v>162</v>
      </c>
      <c r="G186" s="94" t="str">
        <f>"ISNULL(cfuf."&amp;F186&amp;", '')"</f>
        <v>ISNULL(cfuf.FIELD_VAL_27, '')</v>
      </c>
      <c r="H186" s="88" t="s">
        <v>507</v>
      </c>
      <c r="I186" s="61" t="s">
        <v>129</v>
      </c>
    </row>
    <row r="187" spans="1:9">
      <c r="A187" s="80">
        <v>113</v>
      </c>
      <c r="B187" s="81" t="s">
        <v>117</v>
      </c>
      <c r="C187" s="97"/>
      <c r="D187" s="104" t="s">
        <v>326</v>
      </c>
      <c r="E187" s="93" t="s">
        <v>228</v>
      </c>
      <c r="F187" s="97" t="s">
        <v>135</v>
      </c>
      <c r="G187" s="94" t="str">
        <f>"ISNULL(udf_cif."&amp;F187&amp;", '')"</f>
        <v>ISNULL(udf_cif.FIELD_VAL_2, '')</v>
      </c>
      <c r="H187" s="83" t="s">
        <v>508</v>
      </c>
      <c r="I187" s="61" t="s">
        <v>129</v>
      </c>
    </row>
    <row r="188" spans="1:9">
      <c r="A188" s="80">
        <v>114</v>
      </c>
      <c r="B188" s="81" t="s">
        <v>118</v>
      </c>
      <c r="C188" s="97"/>
      <c r="D188" s="83" t="s">
        <v>330</v>
      </c>
      <c r="E188" s="93" t="s">
        <v>228</v>
      </c>
      <c r="F188" s="97" t="s">
        <v>136</v>
      </c>
      <c r="G188" s="94" t="str">
        <f>"ISNULL(udf_cif."&amp;F188&amp;", '')"</f>
        <v>ISNULL(udf_cif.FIELD_VAL_17, '')</v>
      </c>
      <c r="H188" s="83" t="s">
        <v>509</v>
      </c>
      <c r="I188" s="61" t="s">
        <v>129</v>
      </c>
    </row>
    <row r="189" spans="1:9">
      <c r="A189" s="80">
        <v>115</v>
      </c>
      <c r="B189" s="81" t="s">
        <v>119</v>
      </c>
      <c r="C189" s="97"/>
      <c r="D189" s="83" t="s">
        <v>330</v>
      </c>
      <c r="E189" s="105" t="s">
        <v>224</v>
      </c>
      <c r="F189" s="97" t="s">
        <v>510</v>
      </c>
      <c r="G189" s="94" t="str">
        <f>"ISNULL(mcd."&amp;F189&amp;", '')"</f>
        <v>ISNULL(mcd.COMP_MIS_1, '')</v>
      </c>
      <c r="H189" s="83" t="s">
        <v>511</v>
      </c>
      <c r="I189" s="61" t="s">
        <v>129</v>
      </c>
    </row>
    <row r="190" spans="1:9">
      <c r="A190" s="80">
        <v>116</v>
      </c>
      <c r="B190" s="81" t="s">
        <v>120</v>
      </c>
      <c r="C190" s="82"/>
      <c r="D190" s="83" t="s">
        <v>330</v>
      </c>
      <c r="E190" s="105" t="s">
        <v>224</v>
      </c>
      <c r="F190" s="97" t="s">
        <v>512</v>
      </c>
      <c r="G190" s="94" t="str">
        <f>"ISNULL(mcd."&amp;F190&amp;", '')"</f>
        <v>ISNULL(mcd.COMP_MIS_2, '')</v>
      </c>
      <c r="H190" s="83" t="s">
        <v>513</v>
      </c>
      <c r="I190" s="61" t="s">
        <v>129</v>
      </c>
    </row>
    <row r="191" spans="1:9" ht="28.8">
      <c r="A191" s="80">
        <v>117</v>
      </c>
      <c r="B191" s="81" t="s">
        <v>123</v>
      </c>
      <c r="C191" s="92" t="s">
        <v>514</v>
      </c>
      <c r="D191" s="83" t="s">
        <v>4</v>
      </c>
      <c r="E191" s="93" t="s">
        <v>228</v>
      </c>
      <c r="F191" s="106" t="s">
        <v>163</v>
      </c>
      <c r="G191" s="94" t="str">
        <f>"ISNULL(cfuf."&amp;F191&amp;", '')"</f>
        <v>ISNULL(cfuf.FIELD_VAL_28, '')</v>
      </c>
      <c r="H191" s="107" t="s">
        <v>515</v>
      </c>
      <c r="I191" s="61"/>
    </row>
    <row r="192" spans="1:9" ht="43.2">
      <c r="A192" s="80">
        <v>118</v>
      </c>
      <c r="B192" s="81" t="s">
        <v>124</v>
      </c>
      <c r="C192" s="97" t="s">
        <v>516</v>
      </c>
      <c r="D192" s="88" t="s">
        <v>367</v>
      </c>
      <c r="E192" s="93" t="s">
        <v>228</v>
      </c>
      <c r="F192" s="106" t="s">
        <v>159</v>
      </c>
      <c r="G192" s="94" t="str">
        <f>"ISNULL(cfuf."&amp;F192&amp;", '')"</f>
        <v>ISNULL(cfuf.FIELD_VAL_24, '')</v>
      </c>
      <c r="H192" s="107" t="s">
        <v>517</v>
      </c>
      <c r="I192" s="61"/>
    </row>
    <row r="193" spans="1:9" ht="144">
      <c r="A193" s="80">
        <v>119</v>
      </c>
      <c r="B193" s="81" t="s">
        <v>125</v>
      </c>
      <c r="C193" s="82" t="s">
        <v>518</v>
      </c>
      <c r="D193" s="88" t="s">
        <v>367</v>
      </c>
      <c r="E193" s="93" t="s">
        <v>228</v>
      </c>
      <c r="F193" s="106" t="s">
        <v>519</v>
      </c>
      <c r="G193" s="94" t="s">
        <v>520</v>
      </c>
      <c r="H193" s="107" t="s">
        <v>521</v>
      </c>
      <c r="I193" s="61"/>
    </row>
    <row r="194" spans="1:9" ht="43.2">
      <c r="A194" s="80">
        <v>120</v>
      </c>
      <c r="B194" s="81" t="s">
        <v>121</v>
      </c>
      <c r="C194" s="97"/>
      <c r="D194" s="88" t="s">
        <v>522</v>
      </c>
      <c r="E194" s="105" t="s">
        <v>199</v>
      </c>
      <c r="F194" s="97" t="s">
        <v>103</v>
      </c>
      <c r="G194" s="108" t="s">
        <v>523</v>
      </c>
      <c r="H194" s="107"/>
      <c r="I194" s="61"/>
    </row>
    <row r="195" spans="1:9" ht="43.2">
      <c r="A195" s="80">
        <v>121</v>
      </c>
      <c r="B195" s="81" t="s">
        <v>122</v>
      </c>
      <c r="C195" s="82"/>
      <c r="D195" s="88" t="s">
        <v>307</v>
      </c>
      <c r="E195" s="105" t="s">
        <v>199</v>
      </c>
      <c r="F195" s="97" t="s">
        <v>524</v>
      </c>
      <c r="G195" s="109" t="s">
        <v>525</v>
      </c>
      <c r="H195" s="110"/>
      <c r="I195" s="61"/>
    </row>
    <row r="196" spans="1:9">
      <c r="A196" s="111">
        <v>122</v>
      </c>
      <c r="B196" s="112" t="s">
        <v>526</v>
      </c>
      <c r="C196" s="113"/>
      <c r="D196" s="114" t="s">
        <v>527</v>
      </c>
      <c r="E196" s="115" t="s">
        <v>199</v>
      </c>
      <c r="F196" s="116" t="s">
        <v>526</v>
      </c>
      <c r="G196" s="117" t="s">
        <v>528</v>
      </c>
      <c r="H196" s="118"/>
      <c r="I196" s="73" t="s">
        <v>129</v>
      </c>
    </row>
    <row r="197" spans="1:9">
      <c r="A197" s="111">
        <v>123</v>
      </c>
      <c r="B197" s="112" t="s">
        <v>529</v>
      </c>
      <c r="C197" s="113"/>
      <c r="D197" s="114" t="s">
        <v>367</v>
      </c>
      <c r="E197" s="115" t="s">
        <v>199</v>
      </c>
      <c r="F197" s="119" t="s">
        <v>530</v>
      </c>
      <c r="G197" s="117" t="s">
        <v>531</v>
      </c>
      <c r="H197" s="118"/>
      <c r="I197" s="73" t="s">
        <v>129</v>
      </c>
    </row>
    <row r="198" spans="1:9">
      <c r="A198" s="111">
        <v>124</v>
      </c>
      <c r="B198" s="112" t="s">
        <v>532</v>
      </c>
      <c r="C198" s="113"/>
      <c r="D198" s="114" t="s">
        <v>533</v>
      </c>
      <c r="E198" s="115" t="s">
        <v>199</v>
      </c>
      <c r="F198" s="119" t="s">
        <v>534</v>
      </c>
      <c r="G198" s="117" t="s">
        <v>535</v>
      </c>
      <c r="H198" s="120"/>
      <c r="I198" s="73" t="s">
        <v>129</v>
      </c>
    </row>
    <row r="199" spans="1:9">
      <c r="A199" s="111">
        <v>125</v>
      </c>
      <c r="B199" s="112" t="s">
        <v>536</v>
      </c>
      <c r="C199" s="119"/>
      <c r="D199" s="114" t="s">
        <v>537</v>
      </c>
      <c r="E199" s="115" t="s">
        <v>199</v>
      </c>
      <c r="F199" s="119" t="s">
        <v>536</v>
      </c>
      <c r="G199" s="117" t="s">
        <v>538</v>
      </c>
      <c r="H199" s="120"/>
      <c r="I199" s="73" t="s">
        <v>129</v>
      </c>
    </row>
    <row r="200" spans="1:9" s="58" customFormat="1">
      <c r="A200" s="121"/>
      <c r="B200" s="57"/>
      <c r="C200" s="122"/>
      <c r="D200" s="110"/>
      <c r="E200" s="123"/>
      <c r="F200" s="124"/>
      <c r="G200" s="125"/>
      <c r="H200" s="110"/>
      <c r="I200" s="126"/>
    </row>
    <row r="201" spans="1:9">
      <c r="A201" s="80"/>
      <c r="B201" s="81"/>
      <c r="C201" s="82"/>
      <c r="D201" s="88"/>
      <c r="E201" s="105"/>
      <c r="F201" s="127"/>
      <c r="G201" s="127"/>
      <c r="H201" s="128"/>
      <c r="I201" s="61"/>
    </row>
    <row r="202" spans="1:9">
      <c r="A202" s="80"/>
      <c r="B202" s="81"/>
      <c r="C202" s="82"/>
      <c r="D202" s="88"/>
      <c r="E202" s="105"/>
      <c r="F202" s="97"/>
      <c r="G202" s="109"/>
      <c r="H202" s="83"/>
      <c r="I202" s="61"/>
    </row>
    <row r="203" spans="1:9">
      <c r="A203" s="80"/>
      <c r="B203" s="81"/>
      <c r="C203" s="82"/>
      <c r="D203" s="88"/>
      <c r="E203" s="105"/>
      <c r="F203" s="127"/>
      <c r="G203" s="127"/>
      <c r="H203" s="83"/>
      <c r="I203" s="61"/>
    </row>
    <row r="204" spans="1:9">
      <c r="A204" s="80"/>
      <c r="B204" s="81"/>
      <c r="C204" s="82"/>
      <c r="D204" s="88"/>
      <c r="E204" s="105"/>
      <c r="F204" s="127"/>
      <c r="G204" s="127"/>
      <c r="H204" s="83"/>
      <c r="I204" s="61"/>
    </row>
    <row r="205" spans="1:9">
      <c r="A205" s="80"/>
      <c r="B205" s="81"/>
      <c r="C205" s="82"/>
      <c r="D205" s="88"/>
      <c r="E205" s="105"/>
      <c r="F205" s="109"/>
      <c r="G205" s="109"/>
      <c r="H205" s="83"/>
      <c r="I205" s="61"/>
    </row>
    <row r="206" spans="1:9">
      <c r="A206" s="80"/>
      <c r="B206" s="81"/>
      <c r="C206" s="82"/>
      <c r="D206" s="88"/>
      <c r="E206" s="105"/>
      <c r="F206" s="109"/>
      <c r="G206" s="127"/>
      <c r="H206" s="83"/>
      <c r="I206" s="61"/>
    </row>
    <row r="207" spans="1:9">
      <c r="A207" s="80"/>
      <c r="B207" s="81"/>
      <c r="C207" s="82"/>
      <c r="D207" s="88"/>
      <c r="E207" s="105"/>
      <c r="F207" s="109"/>
      <c r="G207" s="109"/>
      <c r="H207" s="83"/>
      <c r="I207" s="61"/>
    </row>
    <row r="208" spans="1:9">
      <c r="A208" s="80"/>
      <c r="B208" s="81"/>
      <c r="C208" s="82"/>
      <c r="D208" s="88"/>
      <c r="E208" s="105"/>
      <c r="F208" s="109"/>
      <c r="G208" s="127"/>
      <c r="H208" s="83"/>
      <c r="I208" s="61"/>
    </row>
    <row r="209" spans="1:9" ht="15" thickBot="1">
      <c r="A209" s="39"/>
      <c r="B209" s="40"/>
      <c r="C209" s="41"/>
      <c r="D209" s="42"/>
      <c r="E209" s="36"/>
      <c r="F209" s="37"/>
      <c r="G209" s="37"/>
      <c r="H209" s="38"/>
      <c r="I209" s="61"/>
    </row>
  </sheetData>
  <autoFilter ref="A74:I199" xr:uid="{437B865D-2C73-4279-9CEB-CCE16C968B3D}"/>
  <mergeCells count="2">
    <mergeCell ref="A73:D73"/>
    <mergeCell ref="E73:H73"/>
  </mergeCells>
  <phoneticPr fontId="1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9BBEED5B05943AA8E969F9110B542" ma:contentTypeVersion="10" ma:contentTypeDescription="Create a new document." ma:contentTypeScope="" ma:versionID="a3b48da556945f6a289829ba5dd37af6">
  <xsd:schema xmlns:xsd="http://www.w3.org/2001/XMLSchema" xmlns:xs="http://www.w3.org/2001/XMLSchema" xmlns:p="http://schemas.microsoft.com/office/2006/metadata/properties" xmlns:ns2="d6cc8617-0d1b-4cb9-9289-f7a8b2a88cb1" xmlns:ns3="fd025c85-17b9-467c-bb1f-dd2de574a75d" targetNamespace="http://schemas.microsoft.com/office/2006/metadata/properties" ma:root="true" ma:fieldsID="0165db0da79488bd37a9de95d8e6f422" ns2:_="" ns3:_="">
    <xsd:import namespace="d6cc8617-0d1b-4cb9-9289-f7a8b2a88cb1"/>
    <xsd:import namespace="fd025c85-17b9-467c-bb1f-dd2de574a7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c8617-0d1b-4cb9-9289-f7a8b2a88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4cb21c-1560-45c7-9c33-7a07e8e709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25c85-17b9-467c-bb1f-dd2de574a7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9f1851-9a99-403d-8d46-94169a8f1b7f}" ma:internalName="TaxCatchAll" ma:showField="CatchAllData" ma:web="fd025c85-17b9-467c-bb1f-dd2de574a7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025c85-17b9-467c-bb1f-dd2de574a75d" xsi:nil="true"/>
    <lcf76f155ced4ddcb4097134ff3c332f xmlns="d6cc8617-0d1b-4cb9-9289-f7a8b2a88c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EDAB98-E075-456C-8986-3579A19849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995172-06C5-4858-A280-E192C3CC79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c8617-0d1b-4cb9-9289-f7a8b2a88cb1"/>
    <ds:schemaRef ds:uri="fd025c85-17b9-467c-bb1f-dd2de574a7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1938D1-77AC-4BEE-AF97-DDBB38AB0DDE}">
  <ds:schemaRefs>
    <ds:schemaRef ds:uri="http://schemas.microsoft.com/office/2006/metadata/properties"/>
    <ds:schemaRef ds:uri="http://schemas.microsoft.com/office/infopath/2007/PartnerControls"/>
    <ds:schemaRef ds:uri="fd025c85-17b9-467c-bb1f-dd2de574a75d"/>
    <ds:schemaRef ds:uri="d6cc8617-0d1b-4cb9-9289-f7a8b2a88c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IM_LIMIT - 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Septian Dwiariano</dc:creator>
  <cp:keywords/>
  <dc:description/>
  <cp:lastModifiedBy>Muhammad Rafi Pratama</cp:lastModifiedBy>
  <cp:revision/>
  <dcterms:created xsi:type="dcterms:W3CDTF">2023-12-04T12:00:19Z</dcterms:created>
  <dcterms:modified xsi:type="dcterms:W3CDTF">2026-09-01T20:48:20Z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0x0101003779BBEED5B05943AA8E969F9110B542</vt:lpwstr>
  </property>
  <property fmtid="{D5CDD505-2E9C-101B-9397-08002B2CF9AE}" pid="3" name="MediaServiceImageTags">
    <vt:lpwstr/>
  </property>
</Properties>
</file>