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dya Revin\Downloads\"/>
    </mc:Choice>
  </mc:AlternateContent>
  <xr:revisionPtr revIDLastSave="0" documentId="8_{00A6B36D-1CB4-4F53-995B-2A8511E06444}" xr6:coauthVersionLast="47" xr6:coauthVersionMax="47" xr10:uidLastSave="{00000000-0000-0000-0000-000000000000}"/>
  <bookViews>
    <workbookView xWindow="-110" yWindow="-110" windowWidth="19420" windowHeight="10300" xr2:uid="{EF40638B-5B8C-4F22-A1A0-D7F048E6EF14}"/>
  </bookViews>
  <sheets>
    <sheet name="Log" sheetId="2" r:id="rId1"/>
    <sheet name="Desc" sheetId="3" r:id="rId2"/>
    <sheet name="Index" sheetId="4" r:id="rId3"/>
    <sheet name="Config" sheetId="5" r:id="rId4"/>
    <sheet name="LIMIT" sheetId="1" r:id="rId5"/>
    <sheet name="Reference" sheetId="6" r:id="rId6"/>
  </sheets>
  <definedNames>
    <definedName name="\01">#N/A</definedName>
    <definedName name="\02">#N/A</definedName>
    <definedName name="\1">#N/A</definedName>
    <definedName name="\2">#N/A</definedName>
    <definedName name="\a">#N/A</definedName>
    <definedName name="\A770">#N/A</definedName>
    <definedName name="\I">#N/A</definedName>
    <definedName name="\l">#N/A</definedName>
    <definedName name="\P">#N/A</definedName>
    <definedName name="_____kol1" localSheetId="5">#REF!</definedName>
    <definedName name="_____kol1">#REF!</definedName>
    <definedName name="____1" localSheetId="5">#REF!</definedName>
    <definedName name="____1">#REF!</definedName>
    <definedName name="____1_0703" localSheetId="5">#REF!</definedName>
    <definedName name="____1_0703">#REF!</definedName>
    <definedName name="____1_0709" localSheetId="5">#REF!</definedName>
    <definedName name="____1_0709">#REF!</definedName>
    <definedName name="____2" localSheetId="5">#REF!</definedName>
    <definedName name="____2">#REF!</definedName>
    <definedName name="____2_0703" localSheetId="5">#REF!</definedName>
    <definedName name="____2_0703">#REF!</definedName>
    <definedName name="____3" localSheetId="5">#REF!</definedName>
    <definedName name="____3">#REF!</definedName>
    <definedName name="____3_0703" localSheetId="5">#REF!</definedName>
    <definedName name="____3_0703">#REF!</definedName>
    <definedName name="____3_0709" localSheetId="5">#REF!</definedName>
    <definedName name="____3_0709">#REF!</definedName>
    <definedName name="____4" localSheetId="5">#REF!</definedName>
    <definedName name="____4">#REF!</definedName>
    <definedName name="____4_0703" localSheetId="5">#REF!</definedName>
    <definedName name="____4_0703">#REF!</definedName>
    <definedName name="____4_0803" localSheetId="5">#REF!</definedName>
    <definedName name="____4_0803">#REF!</definedName>
    <definedName name="____5" localSheetId="5">#REF!</definedName>
    <definedName name="____5">#REF!</definedName>
    <definedName name="____5_0703" localSheetId="5">#REF!</definedName>
    <definedName name="____5_0703">#REF!</definedName>
    <definedName name="____kol1" localSheetId="5">#REF!</definedName>
    <definedName name="____kol1">#REF!</definedName>
    <definedName name="___1" localSheetId="5">#REF!</definedName>
    <definedName name="___1">#REF!</definedName>
    <definedName name="___1_0703" localSheetId="5">#REF!</definedName>
    <definedName name="___1_0703">#REF!</definedName>
    <definedName name="___1_0709" localSheetId="5">#REF!</definedName>
    <definedName name="___1_0709">#REF!</definedName>
    <definedName name="___2" localSheetId="5">#REF!</definedName>
    <definedName name="___2">#REF!</definedName>
    <definedName name="___2_0703" localSheetId="5">#REF!</definedName>
    <definedName name="___2_0703">#REF!</definedName>
    <definedName name="___2_0709" localSheetId="5">#REF!</definedName>
    <definedName name="___2_0709">#REF!</definedName>
    <definedName name="___3" localSheetId="5">#REF!</definedName>
    <definedName name="___3">#REF!</definedName>
    <definedName name="___3_0703" localSheetId="5">#REF!</definedName>
    <definedName name="___3_0703">#REF!</definedName>
    <definedName name="___3_0709" localSheetId="5">#REF!</definedName>
    <definedName name="___3_0709">#REF!</definedName>
    <definedName name="___4" localSheetId="5">#REF!</definedName>
    <definedName name="___4">#REF!</definedName>
    <definedName name="___4_0703" localSheetId="5">#REF!</definedName>
    <definedName name="___4_0703">#REF!</definedName>
    <definedName name="___4_0803" localSheetId="5">#REF!</definedName>
    <definedName name="___4_0803">#REF!</definedName>
    <definedName name="___5" localSheetId="5">#REF!</definedName>
    <definedName name="___5">#REF!</definedName>
    <definedName name="___5_0703" localSheetId="5">#REF!</definedName>
    <definedName name="___5_0703">#REF!</definedName>
    <definedName name="___kol1" localSheetId="5">#REF!</definedName>
    <definedName name="___kol1">#REF!</definedName>
    <definedName name="___Z1" localSheetId="5" hidden="1">#REF!</definedName>
    <definedName name="___Z1" hidden="1">#REF!</definedName>
    <definedName name="___Z2" localSheetId="5" hidden="1">#REF!</definedName>
    <definedName name="___Z2" hidden="1">#REF!</definedName>
    <definedName name="__1" localSheetId="5">#REF!</definedName>
    <definedName name="__1">#REF!</definedName>
    <definedName name="__1_0703" localSheetId="5">#REF!</definedName>
    <definedName name="__1_0703">#REF!</definedName>
    <definedName name="__1_0709" localSheetId="5">#REF!</definedName>
    <definedName name="__1_0709">#REF!</definedName>
    <definedName name="__2" localSheetId="5">#REF!</definedName>
    <definedName name="__2">#REF!</definedName>
    <definedName name="__2_0703" localSheetId="5">#REF!</definedName>
    <definedName name="__2_0703">#REF!</definedName>
    <definedName name="__2_0709" localSheetId="5">#REF!</definedName>
    <definedName name="__2_0709">#REF!</definedName>
    <definedName name="__3" localSheetId="5">#REF!</definedName>
    <definedName name="__3">#REF!</definedName>
    <definedName name="__3_0703" localSheetId="5">#REF!</definedName>
    <definedName name="__3_0703">#REF!</definedName>
    <definedName name="__3_0709" localSheetId="5">#REF!</definedName>
    <definedName name="__3_0709">#REF!</definedName>
    <definedName name="__4" localSheetId="5">#REF!</definedName>
    <definedName name="__4">#REF!</definedName>
    <definedName name="__4_0703" localSheetId="5">#REF!</definedName>
    <definedName name="__4_0703">#REF!</definedName>
    <definedName name="__4_0803" localSheetId="5">#REF!</definedName>
    <definedName name="__4_0803">#REF!</definedName>
    <definedName name="__5" localSheetId="5">#REF!</definedName>
    <definedName name="__5">#REF!</definedName>
    <definedName name="__5_0703" localSheetId="5">#REF!</definedName>
    <definedName name="__5_0703">#REF!</definedName>
    <definedName name="__abc2" localSheetId="5">#REF!</definedName>
    <definedName name="__abc2">#REF!</definedName>
    <definedName name="__kol1" localSheetId="5">#REF!</definedName>
    <definedName name="__kol1">#REF!</definedName>
    <definedName name="__Regression_X" localSheetId="5" hidden="1">#REF!</definedName>
    <definedName name="__Regression_X" hidden="1">#REF!</definedName>
    <definedName name="_1" localSheetId="5">#REF!</definedName>
    <definedName name="_1">#REF!</definedName>
    <definedName name="_1_0703" localSheetId="5">#REF!</definedName>
    <definedName name="_1_0703">#REF!</definedName>
    <definedName name="_1_0709" localSheetId="5">#REF!</definedName>
    <definedName name="_1_0709">#REF!</definedName>
    <definedName name="_1_1">#N/A</definedName>
    <definedName name="_10_4">#N/A</definedName>
    <definedName name="_10Z2_" localSheetId="5" hidden="1">#REF!</definedName>
    <definedName name="_10Z2_" hidden="1">#REF!</definedName>
    <definedName name="_11_4_0703" localSheetId="5">#REF!</definedName>
    <definedName name="_11_4_0703">#REF!</definedName>
    <definedName name="_12_4_0803" localSheetId="5">#REF!</definedName>
    <definedName name="_12_4_0803">#REF!</definedName>
    <definedName name="_13_5">#N/A</definedName>
    <definedName name="_14_5_0703" localSheetId="5">#REF!</definedName>
    <definedName name="_14_5_0703">#REF!</definedName>
    <definedName name="_1A1_" localSheetId="5">#REF!</definedName>
    <definedName name="_1A1_">#REF!</definedName>
    <definedName name="_2" localSheetId="5">#REF!</definedName>
    <definedName name="_2">#REF!</definedName>
    <definedName name="_2_0703" localSheetId="5">#REF!</definedName>
    <definedName name="_2_0703">#REF!</definedName>
    <definedName name="_2_0709" localSheetId="5">#REF!</definedName>
    <definedName name="_2_0709">#REF!</definedName>
    <definedName name="_2_1_0703" localSheetId="5">#REF!</definedName>
    <definedName name="_2_1_0703">#REF!</definedName>
    <definedName name="_2ID2_" localSheetId="5">#REF!</definedName>
    <definedName name="_2ID2_">#REF!</definedName>
    <definedName name="_3" localSheetId="5">#REF!</definedName>
    <definedName name="_3">#REF!</definedName>
    <definedName name="_3_0703" localSheetId="5">#REF!</definedName>
    <definedName name="_3_0703">#REF!</definedName>
    <definedName name="_3_0709" localSheetId="5">#REF!</definedName>
    <definedName name="_3_0709">#REF!</definedName>
    <definedName name="_3_1_0709" localSheetId="5">#REF!</definedName>
    <definedName name="_3_1_0709">#REF!</definedName>
    <definedName name="_3Z1_" localSheetId="5" hidden="1">#REF!</definedName>
    <definedName name="_3Z1_" hidden="1">#REF!</definedName>
    <definedName name="_4" localSheetId="5">#REF!</definedName>
    <definedName name="_4">#REF!</definedName>
    <definedName name="_4_0703" localSheetId="5">#REF!</definedName>
    <definedName name="_4_0703">#REF!</definedName>
    <definedName name="_4_0803" localSheetId="5">#REF!</definedName>
    <definedName name="_4_0803">#REF!</definedName>
    <definedName name="_4_2">#N/A</definedName>
    <definedName name="_4Z1_" localSheetId="5" hidden="1">#REF!</definedName>
    <definedName name="_4Z1_" hidden="1">#REF!</definedName>
    <definedName name="_4Z2_" localSheetId="5" hidden="1">#REF!</definedName>
    <definedName name="_4Z2_" hidden="1">#REF!</definedName>
    <definedName name="_5" localSheetId="5">#REF!</definedName>
    <definedName name="_5">#REF!</definedName>
    <definedName name="_5_0703" localSheetId="5">#REF!</definedName>
    <definedName name="_5_0703">#REF!</definedName>
    <definedName name="_5_2_0703" localSheetId="5">#REF!</definedName>
    <definedName name="_5_2_0703">#REF!</definedName>
    <definedName name="_5a2_" localSheetId="5" hidden="1">{"'NewYork'!$AD$46","'NewYork'!$A$7:$BG$42"}</definedName>
    <definedName name="_5a2_" hidden="1">{"'NewYork'!$AD$46","'NewYork'!$A$7:$BG$42"}</definedName>
    <definedName name="_5取引種類ファイル_全部" localSheetId="5">#REF!</definedName>
    <definedName name="_5取引種類ファイル_全部">#REF!</definedName>
    <definedName name="_6_2_0709" localSheetId="5">#REF!</definedName>
    <definedName name="_6_2_0709">#REF!</definedName>
    <definedName name="_6新海外_ＧＬ_取引種類ファイル抽出" localSheetId="5">#REF!</definedName>
    <definedName name="_6新海外_ＧＬ_取引種類ファイル抽出">#REF!</definedName>
    <definedName name="_7_3">#N/A</definedName>
    <definedName name="_8_3_0703" localSheetId="5">#REF!</definedName>
    <definedName name="_8_3_0703">#REF!</definedName>
    <definedName name="_8H2_" localSheetId="5" hidden="1">{"'NewYork'!$AD$46","'NewYork'!$A$7:$BG$42"}</definedName>
    <definedName name="_8H2_" hidden="1">{"'NewYork'!$AD$46","'NewYork'!$A$7:$BG$42"}</definedName>
    <definedName name="_8Z2_" localSheetId="5" hidden="1">#REF!</definedName>
    <definedName name="_8Z2_" hidden="1">#REF!</definedName>
    <definedName name="_9_3_0709" localSheetId="5">#REF!</definedName>
    <definedName name="_9_3_0709">#REF!</definedName>
    <definedName name="_9Z1_" localSheetId="5" hidden="1">#REF!</definedName>
    <definedName name="_9Z1_" hidden="1">#REF!</definedName>
    <definedName name="_abc2" localSheetId="5">#REF!</definedName>
    <definedName name="_abc2">#REF!</definedName>
    <definedName name="_Base" localSheetId="5">#REF!</definedName>
    <definedName name="_Base">#REF!</definedName>
    <definedName name="_Fill" localSheetId="5" hidden="1">#REF!</definedName>
    <definedName name="_Fill" hidden="1">#REF!</definedName>
    <definedName name="_xlnm._FilterDatabase" localSheetId="3" hidden="1">Config!$A$1:$E$1</definedName>
    <definedName name="_xlnm._FilterDatabase" localSheetId="5" hidden="1">Reference!$A$1:$I$1</definedName>
    <definedName name="_xlnm._FilterDatabase" localSheetId="4" hidden="1">LIMIT!$A$15:$I$128</definedName>
    <definedName name="_ID2" localSheetId="5">#REF!</definedName>
    <definedName name="_ID2">#REF!</definedName>
    <definedName name="_Key1" localSheetId="5" hidden="1">#REF!</definedName>
    <definedName name="_Key1" hidden="1">#REF!</definedName>
    <definedName name="_Key2" localSheetId="5" hidden="1">#REF!</definedName>
    <definedName name="_Key2" hidden="1">#REF!</definedName>
    <definedName name="_kol1">#N/A</definedName>
    <definedName name="_MAR02">#N/A</definedName>
    <definedName name="_MAY02">#N/A</definedName>
    <definedName name="_Order1" hidden="1">255</definedName>
    <definedName name="_Order2" hidden="1">255</definedName>
    <definedName name="_Parse_Out" localSheetId="5" hidden="1">#REF!</definedName>
    <definedName name="_Parse_Out" hidden="1">#REF!</definedName>
    <definedName name="_Regression_X" localSheetId="5" hidden="1">#REF!</definedName>
    <definedName name="_Regression_X" hidden="1">#REF!</definedName>
    <definedName name="_Regression_X1" localSheetId="5" hidden="1">#REF!</definedName>
    <definedName name="_Regression_X1" hidden="1">#REF!</definedName>
    <definedName name="_s1" localSheetId="5" hidden="1">{"'NewYork'!$AD$46","'NewYork'!$A$7:$BG$42"}</definedName>
    <definedName name="_s1" hidden="1">{"'NewYork'!$AD$46","'NewYork'!$A$7:$BG$42"}</definedName>
    <definedName name="_s2" localSheetId="5" hidden="1">{"'NewYork'!$AD$46","'NewYork'!$A$7:$BG$42"}</definedName>
    <definedName name="_s2" hidden="1">{"'NewYork'!$AD$46","'NewYork'!$A$7:$BG$42"}</definedName>
    <definedName name="_SEP02">#N/A</definedName>
    <definedName name="_Sort" localSheetId="5" hidden="1">#REF!</definedName>
    <definedName name="_Sort" hidden="1">#REF!</definedName>
    <definedName name="_tmp2" hidden="1">#N/A</definedName>
    <definedName name="_X" localSheetId="5" hidden="1">#REF!</definedName>
    <definedName name="_X" hidden="1">#REF!</definedName>
    <definedName name="_Z1" hidden="1">#N/A</definedName>
    <definedName name="_Z2" hidden="1">#N/A</definedName>
    <definedName name="_zz2" localSheetId="5" hidden="1">#REF!</definedName>
    <definedName name="_zz2" hidden="1">#REF!</definedName>
    <definedName name="a" localSheetId="5">#REF!</definedName>
    <definedName name="a">#REF!</definedName>
    <definedName name="aa" localSheetId="5">#REF!</definedName>
    <definedName name="aa">#REF!</definedName>
    <definedName name="aaa" localSheetId="5" hidden="1">#REF!</definedName>
    <definedName name="aaa" hidden="1">#REF!</definedName>
    <definedName name="ＡＡＡＡ" localSheetId="5" hidden="1">#REF!</definedName>
    <definedName name="ＡＡＡＡ" hidden="1">#REF!</definedName>
    <definedName name="AAAAA" localSheetId="5" hidden="1">#REF!</definedName>
    <definedName name="AAAAA" hidden="1">#REF!</definedName>
    <definedName name="aaaaaaaa" localSheetId="5" hidden="1">#REF!</definedName>
    <definedName name="aaaaaaaa" hidden="1">#REF!</definedName>
    <definedName name="AAADD" localSheetId="5">#REF!</definedName>
    <definedName name="AAADD">#REF!</definedName>
    <definedName name="AB" localSheetId="5" hidden="1">#REF!</definedName>
    <definedName name="AB" hidden="1">#REF!</definedName>
    <definedName name="abc" localSheetId="5">#REF!</definedName>
    <definedName name="abc">#REF!</definedName>
    <definedName name="ABET">#N/A</definedName>
    <definedName name="ACCOUNT_COM" localSheetId="5">#REF!</definedName>
    <definedName name="ACCOUNT_COM">#REF!</definedName>
    <definedName name="Account_Org" localSheetId="5">#REF!</definedName>
    <definedName name="Account_Org">#REF!</definedName>
    <definedName name="aktiva">#N/A</definedName>
    <definedName name="ap" localSheetId="5">#REF!</definedName>
    <definedName name="ap">#REF!</definedName>
    <definedName name="APINAME" localSheetId="5">#REF!</definedName>
    <definedName name="APINAME">#REF!</definedName>
    <definedName name="APL" localSheetId="5">#REF!</definedName>
    <definedName name="APL">#REF!</definedName>
    <definedName name="APLC" localSheetId="5">#REF!</definedName>
    <definedName name="APLC">#REF!</definedName>
    <definedName name="aplcod" localSheetId="5">#REF!</definedName>
    <definedName name="aplcod">#REF!</definedName>
    <definedName name="aplcode" localSheetId="5">#REF!</definedName>
    <definedName name="aplcode">#REF!</definedName>
    <definedName name="ａｐｌｃｏｄｅ１" localSheetId="5">#REF!</definedName>
    <definedName name="ａｐｌｃｏｄｅ１">#REF!</definedName>
    <definedName name="APLN" localSheetId="5">#REF!</definedName>
    <definedName name="APLN">#REF!</definedName>
    <definedName name="aplnam" localSheetId="5">#REF!</definedName>
    <definedName name="aplnam">#REF!</definedName>
    <definedName name="aplname" localSheetId="5">#REF!</definedName>
    <definedName name="aplname">#REF!</definedName>
    <definedName name="aplname1" localSheetId="5">#REF!</definedName>
    <definedName name="aplname1">#REF!</definedName>
    <definedName name="APLNSME1" localSheetId="5">#REF!</definedName>
    <definedName name="APLNSME1">#REF!</definedName>
    <definedName name="Approach" localSheetId="5">#REF!</definedName>
    <definedName name="Approach">#REF!</definedName>
    <definedName name="APR">#N/A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d">#N/A</definedName>
    <definedName name="asdfasf" localSheetId="5" hidden="1">#REF!</definedName>
    <definedName name="asdfasf" hidden="1">#REF!</definedName>
    <definedName name="asdgasg" localSheetId="5" hidden="1">{"'NewYork'!$AD$46","'NewYork'!$A$7:$BG$42"}</definedName>
    <definedName name="asdgasg" hidden="1">{"'NewYork'!$AD$46","'NewYork'!$A$7:$BG$42"}</definedName>
    <definedName name="ASET">#REF!</definedName>
    <definedName name="assets">#N/A</definedName>
    <definedName name="AUDIT">#N/A</definedName>
    <definedName name="audited">#N/A</definedName>
    <definedName name="AUG">#N/A</definedName>
    <definedName name="az" localSheetId="5" hidden="1">#REF!</definedName>
    <definedName name="az" hidden="1">#REF!</definedName>
    <definedName name="b" localSheetId="5">#REF!</definedName>
    <definedName name="b">#REF!</definedName>
    <definedName name="base_" localSheetId="5">#REF!</definedName>
    <definedName name="base_">#REF!</definedName>
    <definedName name="base_d" localSheetId="5">#REF!</definedName>
    <definedName name="base_d">#REF!</definedName>
    <definedName name="BaseWadiah" localSheetId="5">#REF!</definedName>
    <definedName name="BaseWadiah">#REF!</definedName>
    <definedName name="bb" localSheetId="5">#REF!</definedName>
    <definedName name="bb">#REF!</definedName>
    <definedName name="ｂｂｂ" localSheetId="5" hidden="1">#REF!</definedName>
    <definedName name="ｂｂｂ" hidden="1">#REF!</definedName>
    <definedName name="BBBB" localSheetId="5" hidden="1">#REF!</definedName>
    <definedName name="BBBB" hidden="1">#REF!</definedName>
    <definedName name="BDN" localSheetId="5">#REF!</definedName>
    <definedName name="BDN">#REF!</definedName>
    <definedName name="BG_Del" hidden="1">15</definedName>
    <definedName name="BG_Ins" hidden="1">4</definedName>
    <definedName name="BG_Mod" hidden="1">6</definedName>
    <definedName name="BLN" localSheetId="5">#REF!</definedName>
    <definedName name="BLN">#REF!</definedName>
    <definedName name="blok" localSheetId="5">#REF!</definedName>
    <definedName name="blok">#REF!</definedName>
    <definedName name="BLOK2" localSheetId="5">#REF!</definedName>
    <definedName name="BLOK2">#REF!</definedName>
    <definedName name="bloklah" localSheetId="5">#REF!</definedName>
    <definedName name="bloklah">#REF!</definedName>
    <definedName name="btmu" localSheetId="5">#REF!</definedName>
    <definedName name="btmu">#REF!</definedName>
    <definedName name="cc" localSheetId="5">#REF!</definedName>
    <definedName name="cc">#REF!</definedName>
    <definedName name="CC_OLD" localSheetId="5">#REF!</definedName>
    <definedName name="CC_OLD">#REF!</definedName>
    <definedName name="CCC" localSheetId="5">#REF!</definedName>
    <definedName name="CCC">#REF!</definedName>
    <definedName name="ＣＣＣＣ" localSheetId="5" hidden="1">#REF!</definedName>
    <definedName name="ＣＣＣＣ" hidden="1">#REF!</definedName>
    <definedName name="ccccc" localSheetId="5" hidden="1">#REF!</definedName>
    <definedName name="ccccc" hidden="1">#REF!</definedName>
    <definedName name="CCCCCCCCCC" localSheetId="5" hidden="1">#REF!</definedName>
    <definedName name="CCCCCCCCCC" hidden="1">#REF!</definedName>
    <definedName name="CCCCCCCCCCCC" localSheetId="5" hidden="1">#REF!</definedName>
    <definedName name="CCCCCCCCCCCC" hidden="1">#REF!</definedName>
    <definedName name="CCY" localSheetId="5">#REF!</definedName>
    <definedName name="CCY">#REF!</definedName>
    <definedName name="check" localSheetId="5">#REF!</definedName>
    <definedName name="check">#REF!</definedName>
    <definedName name="Code_other_than_MS_Subsidiaries" localSheetId="5">#REF!</definedName>
    <definedName name="Code_other_than_MS_Subsidiaries">#REF!</definedName>
    <definedName name="Command_Click" localSheetId="5">#REF!</definedName>
    <definedName name="Command_Click">#REF!</definedName>
    <definedName name="COUNTRY" localSheetId="5">#REF!</definedName>
    <definedName name="COUNTRY">#REF!</definedName>
    <definedName name="COUNT指定" localSheetId="5">#REF!</definedName>
    <definedName name="COUNT指定">#REF!</definedName>
    <definedName name="CP" localSheetId="5">#REF!</definedName>
    <definedName name="CP">#REF!</definedName>
    <definedName name="CreditCardDetailStatementByCardNo" localSheetId="5">#REF!</definedName>
    <definedName name="CreditCardDetailStatementByCardNo">#REF!</definedName>
    <definedName name="d" localSheetId="5">#REF!</definedName>
    <definedName name="d">#REF!</definedName>
    <definedName name="_xlnm.Database" localSheetId="5">#REF!</definedName>
    <definedName name="_xlnm.Database">#REF!</definedName>
    <definedName name="DATABASE2" localSheetId="5">#REF!</definedName>
    <definedName name="DATABASE2">#REF!</definedName>
    <definedName name="DATE">#N/A</definedName>
    <definedName name="ｄｄ" localSheetId="5" hidden="1">#REF!</definedName>
    <definedName name="ｄｄ" hidden="1">#REF!</definedName>
    <definedName name="Ddata" localSheetId="5">#REF!</definedName>
    <definedName name="Ddata">#REF!</definedName>
    <definedName name="ｄｄｄ" localSheetId="5" hidden="1">#REF!</definedName>
    <definedName name="ｄｄｄ" hidden="1">#REF!</definedName>
    <definedName name="ddddd" localSheetId="5" hidden="1">#REF!</definedName>
    <definedName name="ddddd" hidden="1">#REF!</definedName>
    <definedName name="DEMAND_DEPOSIT">#N/A</definedName>
    <definedName name="DEMAND_DEPOSITS">#N/A</definedName>
    <definedName name="df">#N/A</definedName>
    <definedName name="DF_BRS_DEMAND">#N/A</definedName>
    <definedName name="DJDC" localSheetId="5">#REF!</definedName>
    <definedName name="DJDC">#REF!</definedName>
    <definedName name="dp_" localSheetId="5">#REF!</definedName>
    <definedName name="dp_">#REF!</definedName>
    <definedName name="DSD" localSheetId="5">#REF!</definedName>
    <definedName name="DSD">#REF!</definedName>
    <definedName name="DSK" localSheetId="5">#REF!</definedName>
    <definedName name="DSK">#REF!</definedName>
    <definedName name="dt">#N/A</definedName>
    <definedName name="DT_BRS_DEMAND">#N/A</definedName>
    <definedName name="DTES" localSheetId="5">#REF!</definedName>
    <definedName name="DTES">#REF!</definedName>
    <definedName name="e" localSheetId="5" hidden="1">#REF!</definedName>
    <definedName name="e" hidden="1">#REF!</definedName>
    <definedName name="ee" localSheetId="5" hidden="1">#REF!</definedName>
    <definedName name="ee" hidden="1">#REF!</definedName>
    <definedName name="EEE" localSheetId="5" hidden="1">#REF!</definedName>
    <definedName name="EEE" hidden="1">#REF!</definedName>
    <definedName name="EEEE" localSheetId="5" hidden="1">#REF!</definedName>
    <definedName name="EEEE" hidden="1">#REF!</definedName>
    <definedName name="Eng" localSheetId="5">#REF!</definedName>
    <definedName name="Eng">#REF!</definedName>
    <definedName name="EUR">#N/A</definedName>
    <definedName name="f" localSheetId="5">#REF!</definedName>
    <definedName name="f">#REF!</definedName>
    <definedName name="ｆｃｘｖｂｂ" localSheetId="5">#REF!</definedName>
    <definedName name="ｆｃｘｖｂｂ">#REF!</definedName>
    <definedName name="FEB">#N/A</definedName>
    <definedName name="ｆｆ" localSheetId="5" hidden="1">#REF!</definedName>
    <definedName name="ｆｆ" hidden="1">#REF!</definedName>
    <definedName name="ｆｆｆ" localSheetId="5" hidden="1">#REF!</definedName>
    <definedName name="ｆｆｆ" hidden="1">#REF!</definedName>
    <definedName name="FFFF" localSheetId="5" hidden="1">#REF!</definedName>
    <definedName name="FFFF" hidden="1">#REF!</definedName>
    <definedName name="ＦＦＦＦＦ" localSheetId="5" hidden="1">{"'NewYork'!$AD$46","'NewYork'!$A$7:$BG$42"}</definedName>
    <definedName name="ＦＦＦＦＦ" hidden="1">{"'NewYork'!$AD$46","'NewYork'!$A$7:$BG$42"}</definedName>
    <definedName name="FFFFFF" localSheetId="5" hidden="1">{"'NewYork'!$AD$46","'NewYork'!$A$7:$BG$42"}</definedName>
    <definedName name="FFFFFF" hidden="1">{"'NewYork'!$AD$46","'NewYork'!$A$7:$BG$42"}</definedName>
    <definedName name="ＦＬＣＴＲＧ２0" localSheetId="5" hidden="1">#REF!</definedName>
    <definedName name="ＦＬＣＴＲＧ２0" hidden="1">#REF!</definedName>
    <definedName name="Form001020300" localSheetId="5">#REF!</definedName>
    <definedName name="Form001020300">#REF!</definedName>
    <definedName name="Form002020300" localSheetId="5">#REF!</definedName>
    <definedName name="Form002020300">#REF!</definedName>
    <definedName name="Form002520300" localSheetId="5">#REF!</definedName>
    <definedName name="Form002520300">#REF!</definedName>
    <definedName name="Form003020300" localSheetId="5">#REF!</definedName>
    <definedName name="Form003020300">#REF!</definedName>
    <definedName name="Form003520300" localSheetId="5">#REF!</definedName>
    <definedName name="Form003520300">#REF!</definedName>
    <definedName name="Form004320300" localSheetId="5">#REF!</definedName>
    <definedName name="Form004320300">#REF!</definedName>
    <definedName name="Form004620300" localSheetId="5">#REF!</definedName>
    <definedName name="Form004620300">#REF!</definedName>
    <definedName name="Form110020300" localSheetId="5">#REF!</definedName>
    <definedName name="Form110020300">#REF!</definedName>
    <definedName name="Form111020300" localSheetId="5">#REF!</definedName>
    <definedName name="Form111020300">#REF!</definedName>
    <definedName name="Form120020300" localSheetId="5">#REF!</definedName>
    <definedName name="Form120020300">#REF!</definedName>
    <definedName name="Form130020300" localSheetId="5">#REF!</definedName>
    <definedName name="Form130020300">#REF!</definedName>
    <definedName name="Form210020300" localSheetId="5">#REF!</definedName>
    <definedName name="Form210020300">#REF!</definedName>
    <definedName name="Form220020300" localSheetId="5">#REF!</definedName>
    <definedName name="Form220020300">#REF!</definedName>
    <definedName name="Form230020300" localSheetId="5">#REF!</definedName>
    <definedName name="Form230020300">#REF!</definedName>
    <definedName name="Form249020300" localSheetId="5">#REF!</definedName>
    <definedName name="Form249020300">#REF!</definedName>
    <definedName name="Form255020300" localSheetId="5">#REF!</definedName>
    <definedName name="Form255020300">#REF!</definedName>
    <definedName name="Form260020300" localSheetId="5">#REF!</definedName>
    <definedName name="Form260020300">#REF!</definedName>
    <definedName name="Form279020300" localSheetId="5">#REF!</definedName>
    <definedName name="Form279020300">#REF!</definedName>
    <definedName name="Form301020300" localSheetId="5">#REF!</definedName>
    <definedName name="Form301020300">#REF!</definedName>
    <definedName name="Form302020300" localSheetId="5">#REF!</definedName>
    <definedName name="Form302020300">#REF!</definedName>
    <definedName name="Form531020300" localSheetId="5">#REF!</definedName>
    <definedName name="Form531020300">#REF!</definedName>
    <definedName name="FTP" localSheetId="5">#REF!</definedName>
    <definedName name="FTP">#REF!</definedName>
    <definedName name="ｇ" localSheetId="5" hidden="1">#REF!</definedName>
    <definedName name="ｇ" hidden="1">#REF!</definedName>
    <definedName name="ga" localSheetId="5" hidden="1">#REF!</definedName>
    <definedName name="ga" hidden="1">#REF!</definedName>
    <definedName name="gamenn" localSheetId="5">#REF!</definedName>
    <definedName name="gamenn">#REF!</definedName>
    <definedName name="GBP">#N/A</definedName>
    <definedName name="ｇｃｍｓ" localSheetId="5" hidden="1">{"'2.3 NT(ｱｶｳﾝﾄ)基本方針2'!$A$1:$AN$62"}</definedName>
    <definedName name="ｇｃｍｓ" hidden="1">{"'2.3 NT(ｱｶｳﾝﾄ)基本方針2'!$A$1:$AN$62"}</definedName>
    <definedName name="getCustomerGCN">#REF!</definedName>
    <definedName name="ｇｇ" localSheetId="5">#REF!</definedName>
    <definedName name="ｇｇ">#REF!</definedName>
    <definedName name="GOTODAcont" localSheetId="5" hidden="1">{"'NewYork'!$AD$46","'NewYork'!$A$7:$BG$42"}</definedName>
    <definedName name="GOTODAcont" hidden="1">{"'NewYork'!$AD$46","'NewYork'!$A$7:$BG$42"}</definedName>
    <definedName name="Group" localSheetId="5">#REF!</definedName>
    <definedName name="Group">#REF!</definedName>
    <definedName name="ＧＷメッセージ一覧" localSheetId="5" hidden="1">#REF!</definedName>
    <definedName name="ＧＷメッセージ一覧" hidden="1">#REF!</definedName>
    <definedName name="h" localSheetId="5" hidden="1">#REF!</definedName>
    <definedName name="h" hidden="1">#REF!</definedName>
    <definedName name="hh" localSheetId="5" hidden="1">#REF!</definedName>
    <definedName name="hh" hidden="1">#REF!</definedName>
    <definedName name="HIBAH" localSheetId="5">#REF!</definedName>
    <definedName name="HIBAH">#REF!</definedName>
    <definedName name="HK" localSheetId="5">#REF!</definedName>
    <definedName name="HK">#REF!</definedName>
    <definedName name="HTML_CodePage" hidden="1">932</definedName>
    <definedName name="HTML_Control" localSheetId="5" hidden="1">{"'NewYork'!$AD$46","'NewYork'!$A$7:$BG$42"}</definedName>
    <definedName name="HTML_Control" hidden="1">{"'NewYork'!$AD$46","'NewYork'!$A$7:$BG$42"}</definedName>
    <definedName name="HTML_Control_" localSheetId="5" hidden="1">{"'NewYork'!$AD$46","'NewYork'!$A$7:$BG$42"}</definedName>
    <definedName name="HTML_Control_" hidden="1">{"'NewYork'!$AD$46","'NewYork'!$A$7:$BG$42"}</definedName>
    <definedName name="HTML_Control1" localSheetId="5" hidden="1">{"'NewYork'!$AD$46","'NewYork'!$A$7:$BG$42"}</definedName>
    <definedName name="HTML_Control1" hidden="1">{"'NewYork'!$AD$46","'NewYork'!$A$7:$BG$42"}</definedName>
    <definedName name="HTML_Control1_" localSheetId="5" hidden="1">{"'NewYork'!$AD$46","'NewYork'!$A$7:$BG$42"}</definedName>
    <definedName name="HTML_Control1_" hidden="1">{"'NewYork'!$AD$46","'NewYork'!$A$7:$BG$42"}</definedName>
    <definedName name="HTML_Controlpp" localSheetId="5" hidden="1">{"'NewYork'!$AD$46","'NewYork'!$A$7:$BG$42"}</definedName>
    <definedName name="HTML_Controlpp" hidden="1">{"'NewYork'!$AD$46","'NewYork'!$A$7:$BG$42"}</definedName>
    <definedName name="HTML_Description" hidden="1">""</definedName>
    <definedName name="HTML_Email" hidden="1">""</definedName>
    <definedName name="HTML_Header" hidden="1">"NewYork"</definedName>
    <definedName name="HTML_LastUpdate" hidden="1">"99/11/09"</definedName>
    <definedName name="HTML_LineAfter" hidden="1">FALSE</definedName>
    <definedName name="HTML_LineBefore" hidden="1">FALSE</definedName>
    <definedName name="HTML_Name" hidden="1">"岩下 英明"</definedName>
    <definedName name="HTML_OBDlg2" hidden="1">TRUE</definedName>
    <definedName name="HTML_OBDlg4" hidden="1">TRUE</definedName>
    <definedName name="HTML_OS" hidden="1">0</definedName>
    <definedName name="HTML_PathFile" hidden="1">"C:\iwashita\BTM海外店システム\Homepage\NewYork.htm"</definedName>
    <definedName name="HTML_Title" hidden="1">"NY-SGPのIF"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I" localSheetId="5" hidden="1">#REF!</definedName>
    <definedName name="I" hidden="1">#REF!</definedName>
    <definedName name="i12a" localSheetId="5">#REF!</definedName>
    <definedName name="i12a">#REF!</definedName>
    <definedName name="ＩＤ" localSheetId="5">#REF!</definedName>
    <definedName name="ＩＤ">#REF!</definedName>
    <definedName name="IDR">#N/A</definedName>
    <definedName name="IDRAPR">#N/A</definedName>
    <definedName name="IDRAUG">#N/A</definedName>
    <definedName name="IDRDEC">#N/A</definedName>
    <definedName name="IDRFEB">#N/A</definedName>
    <definedName name="IDRJAN">#N/A</definedName>
    <definedName name="IDRJUL">#N/A</definedName>
    <definedName name="IDRJUN">#N/A</definedName>
    <definedName name="IDRMAR">#N/A</definedName>
    <definedName name="IDRMAY">#N/A</definedName>
    <definedName name="IDRNOV">#N/A</definedName>
    <definedName name="IDROCT">#N/A</definedName>
    <definedName name="IDRSEP">#N/A</definedName>
    <definedName name="ii" localSheetId="5" hidden="1">#REF!</definedName>
    <definedName name="ii" hidden="1">#REF!</definedName>
    <definedName name="iii" localSheetId="5" hidden="1">#REF!</definedName>
    <definedName name="iii" hidden="1">#REF!</definedName>
    <definedName name="INTEC" localSheetId="5">#REF!</definedName>
    <definedName name="INTEC">#REF!</definedName>
    <definedName name="Jap" localSheetId="5">#REF!</definedName>
    <definedName name="Jap">#REF!</definedName>
    <definedName name="JENDEV" localSheetId="5">#REF!</definedName>
    <definedName name="JENDEV">#REF!</definedName>
    <definedName name="JENISSB" localSheetId="5">#REF!</definedName>
    <definedName name="JENISSB">#REF!</definedName>
    <definedName name="JENPENY" localSheetId="5">#REF!</definedName>
    <definedName name="JENPENY">#REF!</definedName>
    <definedName name="JENPIU" localSheetId="5">#REF!</definedName>
    <definedName name="JENPIU">#REF!</definedName>
    <definedName name="JENPRO" localSheetId="5">#REF!</definedName>
    <definedName name="JENPRO">#REF!</definedName>
    <definedName name="JENSEK" localSheetId="5">#REF!</definedName>
    <definedName name="JENSEK">#REF!</definedName>
    <definedName name="jentag" localSheetId="5">#REF!</definedName>
    <definedName name="jentag">#REF!</definedName>
    <definedName name="jentan" localSheetId="5">#REF!</definedName>
    <definedName name="jentan">#REF!</definedName>
    <definedName name="JFT" localSheetId="5">#REF!</definedName>
    <definedName name="JFT">#REF!</definedName>
    <definedName name="JFTA" localSheetId="5">#REF!</definedName>
    <definedName name="JFTA">#REF!</definedName>
    <definedName name="JFTE" localSheetId="5">#REF!</definedName>
    <definedName name="JFTE">#REF!</definedName>
    <definedName name="JFTP" localSheetId="5">#REF!</definedName>
    <definedName name="JFTP">#REF!</definedName>
    <definedName name="ｊｊｊ" localSheetId="5" hidden="1">#REF!</definedName>
    <definedName name="ｊｊｊ" hidden="1">#REF!</definedName>
    <definedName name="JKGYUHVGHJ">#N/A</definedName>
    <definedName name="JMBE" localSheetId="5">#REF!</definedName>
    <definedName name="JMBE">#REF!</definedName>
    <definedName name="JP" localSheetId="5">#REF!</definedName>
    <definedName name="JP">#REF!</definedName>
    <definedName name="JPA" localSheetId="5">#REF!</definedName>
    <definedName name="JPA">#REF!</definedName>
    <definedName name="JTPVA" localSheetId="5">#REF!</definedName>
    <definedName name="JTPVA">#REF!</definedName>
    <definedName name="JUL">#N/A</definedName>
    <definedName name="JUN">#N/A</definedName>
    <definedName name="JW" localSheetId="5">#REF!</definedName>
    <definedName name="JW">#REF!</definedName>
    <definedName name="kai_hatan1">#N/A</definedName>
    <definedName name="kai_hatan1_pj">#N/A</definedName>
    <definedName name="kai_hatan2">#N/A</definedName>
    <definedName name="kai_hatan2_pj">#N/A</definedName>
    <definedName name="kai_hatan3">#N/A</definedName>
    <definedName name="kai_hatan3_pj">#N/A</definedName>
    <definedName name="kai_yosin1">#N/A</definedName>
    <definedName name="kai_yosin1_pj">#N/A</definedName>
    <definedName name="kai_yosin2">#N/A</definedName>
    <definedName name="kai_yosin2_pj">#N/A</definedName>
    <definedName name="kai_yosin3">#N/A</definedName>
    <definedName name="kai_yosin3_pj">#N/A</definedName>
    <definedName name="kannrennhyou" localSheetId="5" hidden="1">#REF!</definedName>
    <definedName name="kannrennhyou" hidden="1">#REF!</definedName>
    <definedName name="kentoukoumoku" localSheetId="5" hidden="1">#REF!</definedName>
    <definedName name="kentoukoumoku" hidden="1">#REF!</definedName>
    <definedName name="KINOU" localSheetId="5">#REF!</definedName>
    <definedName name="KINOU">#REF!</definedName>
    <definedName name="ｋｋｋ" localSheetId="5">#REF!</definedName>
    <definedName name="ｋｋｋ">#REF!</definedName>
    <definedName name="kode">#N/A</definedName>
    <definedName name="koku_hatan1">#N/A</definedName>
    <definedName name="koku_hatan1_pj">#N/A</definedName>
    <definedName name="koku_hatan2">#N/A</definedName>
    <definedName name="koku_hatan2_pj">#N/A</definedName>
    <definedName name="koku_hatan3">#N/A</definedName>
    <definedName name="koku_hatan3_pj">#N/A</definedName>
    <definedName name="koku_yosin1">#N/A</definedName>
    <definedName name="koku_yosin1_pj">#N/A</definedName>
    <definedName name="koku_yosin2">#N/A</definedName>
    <definedName name="koku_yosin2_pj">#N/A</definedName>
    <definedName name="koku_yosin3">#N/A</definedName>
    <definedName name="koku_yosin3_pj">#N/A</definedName>
    <definedName name="kol1sep06">#N/A</definedName>
    <definedName name="kol2sep06">#N/A</definedName>
    <definedName name="kol3sep06">#N/A</definedName>
    <definedName name="kol4sep06">#N/A</definedName>
    <definedName name="kol5sep06">#N/A</definedName>
    <definedName name="KOTA" localSheetId="5">#REF!</definedName>
    <definedName name="KOTA">#REF!</definedName>
    <definedName name="KURS" localSheetId="5">#REF!</definedName>
    <definedName name="KURS">#REF!</definedName>
    <definedName name="L_Adjust">#N/A</definedName>
    <definedName name="L_AJE_Tot">#N/A</definedName>
    <definedName name="L_CY_Beg">#N/A</definedName>
    <definedName name="L_CY_End">#N/A</definedName>
    <definedName name="L_PY_End">#N/A</definedName>
    <definedName name="L_RJE_Tot">#N/A</definedName>
    <definedName name="ｌ９お" localSheetId="5">#REF!</definedName>
    <definedName name="ｌ９お">#REF!</definedName>
    <definedName name="LBBU" localSheetId="5">#REF!</definedName>
    <definedName name="LBBU">#REF!</definedName>
    <definedName name="lijilk" localSheetId="5">#REF!</definedName>
    <definedName name="lijilk">#REF!</definedName>
    <definedName name="ｌｌ" localSheetId="5">#REF!</definedName>
    <definedName name="ｌｌ">#REF!</definedName>
    <definedName name="lll" localSheetId="5" hidden="1">{0,0}</definedName>
    <definedName name="lll" hidden="1">{0,0}</definedName>
    <definedName name="m" localSheetId="5" hidden="1">#REF!</definedName>
    <definedName name="m" hidden="1">#REF!</definedName>
    <definedName name="MAD" localSheetId="5" hidden="1">#REF!</definedName>
    <definedName name="MAD" hidden="1">#REF!</definedName>
    <definedName name="maeoki" localSheetId="5" hidden="1">#REF!</definedName>
    <definedName name="maeoki" hidden="1">#REF!</definedName>
    <definedName name="Maping" localSheetId="5">#REF!</definedName>
    <definedName name="Maping">#REF!</definedName>
    <definedName name="MAR">#N/A</definedName>
    <definedName name="MAY">#N/A</definedName>
    <definedName name="ＭＤＩＤ" localSheetId="5">#REF!</definedName>
    <definedName name="ＭＤＩＤ">#REF!</definedName>
    <definedName name="MD名" localSheetId="5">#REF!</definedName>
    <definedName name="MD名">#REF!</definedName>
    <definedName name="mm" localSheetId="5" hidden="1">#REF!</definedName>
    <definedName name="mm" hidden="1">#REF!</definedName>
    <definedName name="mmm" localSheetId="5" hidden="1">#REF!</definedName>
    <definedName name="mmm" hidden="1">#REF!</definedName>
    <definedName name="month" localSheetId="5">#REF!</definedName>
    <definedName name="month">#REF!</definedName>
    <definedName name="neraca" localSheetId="5">#REF!</definedName>
    <definedName name="neraca">#REF!</definedName>
    <definedName name="NERACA_1" localSheetId="5">#REF!</definedName>
    <definedName name="NERACA_1">#REF!</definedName>
    <definedName name="new" localSheetId="5">#REF!</definedName>
    <definedName name="new">#REF!</definedName>
    <definedName name="NOV">#N/A</definedName>
    <definedName name="NSS" localSheetId="5">#REF!</definedName>
    <definedName name="NSS">#REF!</definedName>
    <definedName name="OCT">#N/A</definedName>
    <definedName name="ODC制約" localSheetId="5">#REF!</definedName>
    <definedName name="ODC制約">#REF!</definedName>
    <definedName name="Offi" localSheetId="5">#REF!</definedName>
    <definedName name="Offi">#REF!</definedName>
    <definedName name="ok_" localSheetId="5">#REF!</definedName>
    <definedName name="ok_">#REF!</definedName>
    <definedName name="op" localSheetId="5" hidden="1">#REF!</definedName>
    <definedName name="op" hidden="1">#REF!</definedName>
    <definedName name="OpRiskApproach" localSheetId="5">#REF!</definedName>
    <definedName name="OpRiskApproach">#REF!</definedName>
    <definedName name="optionrange" localSheetId="5">#REF!</definedName>
    <definedName name="optionrange">#REF!</definedName>
    <definedName name="ｐ" localSheetId="5">#REF!</definedName>
    <definedName name="ｐ">#REF!</definedName>
    <definedName name="pasiva">#N/A</definedName>
    <definedName name="Pdata" localSheetId="5">#REF!</definedName>
    <definedName name="Pdata">#REF!</definedName>
    <definedName name="PERCENT" localSheetId="5">#REF!</definedName>
    <definedName name="PERCENT">#REF!</definedName>
    <definedName name="PLAPR">#N/A</definedName>
    <definedName name="PLAUG">#N/A</definedName>
    <definedName name="PLFEB">#N/A</definedName>
    <definedName name="PLHOENG1">#N/A</definedName>
    <definedName name="PLJUL">#N/A</definedName>
    <definedName name="PLJUN">#N/A</definedName>
    <definedName name="PLM">#N/A</definedName>
    <definedName name="PLMAR">#N/A</definedName>
    <definedName name="PLMAY">#N/A</definedName>
    <definedName name="PLNOV">#N/A</definedName>
    <definedName name="PLOCT">#N/A</definedName>
    <definedName name="PLSEP">#N/A</definedName>
    <definedName name="PLUSD">#N/A</definedName>
    <definedName name="pp" localSheetId="5" hidden="1">#REF!</definedName>
    <definedName name="pp" hidden="1">#REF!</definedName>
    <definedName name="_xlnm.Print_Area" localSheetId="5">#REF!</definedName>
    <definedName name="_xlnm.Print_Area">#REF!</definedName>
    <definedName name="PRINT_AREA_MI" localSheetId="5">#REF!</definedName>
    <definedName name="PRINT_AREA_MI">#REF!</definedName>
    <definedName name="Print_title" localSheetId="5">#REF!</definedName>
    <definedName name="Print_title">#REF!</definedName>
    <definedName name="_xlnm.Print_Titles" localSheetId="5">#REF!</definedName>
    <definedName name="_xlnm.Print_Titles">#REF!</definedName>
    <definedName name="PRINT_TITLES_MI" localSheetId="5">#REF!</definedName>
    <definedName name="PRINT_TITLES_MI">#REF!</definedName>
    <definedName name="PROPINSI" localSheetId="5">#REF!</definedName>
    <definedName name="PROPINSI">#REF!</definedName>
    <definedName name="Ｑ" localSheetId="5" hidden="1">#REF!</definedName>
    <definedName name="Ｑ" hidden="1">#REF!</definedName>
    <definedName name="q_tmp_172411" localSheetId="5">#REF!</definedName>
    <definedName name="q_tmp_172411">#REF!</definedName>
    <definedName name="Q0306_1" localSheetId="5">#REF!</definedName>
    <definedName name="Q0306_1">#REF!</definedName>
    <definedName name="Q0306_2" localSheetId="5">#REF!</definedName>
    <definedName name="Q0306_2">#REF!</definedName>
    <definedName name="Q0306_3" localSheetId="5">#REF!</definedName>
    <definedName name="Q0306_3">#REF!</definedName>
    <definedName name="Q0306_4" localSheetId="5">#REF!</definedName>
    <definedName name="Q0306_4">#REF!</definedName>
    <definedName name="qq" localSheetId="5" hidden="1">#REF!</definedName>
    <definedName name="qq" hidden="1">#REF!</definedName>
    <definedName name="qqq" localSheetId="5" hidden="1">#REF!</definedName>
    <definedName name="qqq" hidden="1">#REF!</definedName>
    <definedName name="ｑｑｑｑ" localSheetId="5">#REF!</definedName>
    <definedName name="ｑｑｑｑ">#REF!</definedName>
    <definedName name="qqqqq" localSheetId="5" hidden="1">#REF!</definedName>
    <definedName name="qqqqq" hidden="1">#REF!</definedName>
    <definedName name="RAIN" localSheetId="5" hidden="1">#REF!</definedName>
    <definedName name="RAIN" hidden="1">#REF!</definedName>
    <definedName name="RAIN1" localSheetId="5" hidden="1">#REF!</definedName>
    <definedName name="RAIN1" hidden="1">#REF!</definedName>
    <definedName name="RAIN3" localSheetId="5" hidden="1">#REF!</definedName>
    <definedName name="RAIN3" hidden="1">#REF!</definedName>
    <definedName name="RAIN4" localSheetId="5" hidden="1">#REF!</definedName>
    <definedName name="RAIN4" hidden="1">#REF!</definedName>
    <definedName name="RAIN6" localSheetId="5" hidden="1">#REF!</definedName>
    <definedName name="RAIN6" hidden="1">#REF!</definedName>
    <definedName name="RAIN7" localSheetId="5" hidden="1">#REF!</definedName>
    <definedName name="RAIN7" hidden="1">#REF!</definedName>
    <definedName name="Rate">#N/A</definedName>
    <definedName name="Rates">#N/A</definedName>
    <definedName name="Rates2">#N/A</definedName>
    <definedName name="ReportOffice" localSheetId="5">#REF!</definedName>
    <definedName name="ReportOffice">#REF!</definedName>
    <definedName name="ｒｒ" localSheetId="5" hidden="1">{"'NewYork'!$AD$46","'NewYork'!$A$7:$BG$42"}</definedName>
    <definedName name="ｒｒ" hidden="1">{"'NewYork'!$AD$46","'NewYork'!$A$7:$BG$42"}</definedName>
    <definedName name="ｒｒｒ" localSheetId="5" hidden="1">#REF!</definedName>
    <definedName name="ｒｒｒ" hidden="1">#REF!</definedName>
    <definedName name="RWA_QA" localSheetId="5">#REF!</definedName>
    <definedName name="RWA_QA">#REF!</definedName>
    <definedName name="s" localSheetId="5">#REF!</definedName>
    <definedName name="s">#REF!</definedName>
    <definedName name="S_Adjust_Data">#N/A</definedName>
    <definedName name="S_AJE_Tot_Data">#N/A</definedName>
    <definedName name="S_CY_Beg_Data">#N/A</definedName>
    <definedName name="S_CY_End_Data">#N/A</definedName>
    <definedName name="S_PY_End_Data">#N/A</definedName>
    <definedName name="S_RJE_Tot_Data">#N/A</definedName>
    <definedName name="SA" hidden="1">#N/A</definedName>
    <definedName name="SBSB" localSheetId="5">#REF!</definedName>
    <definedName name="SBSB">#REF!</definedName>
    <definedName name="sdsdf" localSheetId="5">#REF!</definedName>
    <definedName name="sdsdf">#REF!</definedName>
    <definedName name="sdsdsd" localSheetId="5">#REF!</definedName>
    <definedName name="sdsdsd">#REF!</definedName>
    <definedName name="sec">#N/A</definedName>
    <definedName name="SEP">#N/A</definedName>
    <definedName name="SHY__Financial_Ins___Overseas_Netw_Mgt" localSheetId="5">#REF!,#REF!</definedName>
    <definedName name="SHY__Financial_Ins___Overseas_Netw_Mgt">#REF!,#REF!</definedName>
    <definedName name="SI" localSheetId="5">#REF!</definedName>
    <definedName name="SI">#REF!</definedName>
    <definedName name="SJSB" localSheetId="5">#REF!</definedName>
    <definedName name="SJSB">#REF!</definedName>
    <definedName name="SJTAS" localSheetId="5">#REF!</definedName>
    <definedName name="SJTAS">#REF!</definedName>
    <definedName name="SJTASET" localSheetId="5">#REF!</definedName>
    <definedName name="SJTASET">#REF!</definedName>
    <definedName name="SJTDER" localSheetId="5">#REF!</definedName>
    <definedName name="SJTDER">#REF!</definedName>
    <definedName name="SJTE" localSheetId="5">#REF!</definedName>
    <definedName name="SJTE">#REF!</definedName>
    <definedName name="SJTEQ" localSheetId="5">#REF!</definedName>
    <definedName name="SJTEQ">#REF!</definedName>
    <definedName name="SJTL" localSheetId="5">#REF!</definedName>
    <definedName name="SJTL">#REF!</definedName>
    <definedName name="SJTOCA" localSheetId="5">#REF!</definedName>
    <definedName name="SJTOCA">#REF!</definedName>
    <definedName name="SJTP" localSheetId="5">#REF!</definedName>
    <definedName name="SJTP">#REF!</definedName>
    <definedName name="SJTSB" localSheetId="5">#REF!</definedName>
    <definedName name="SJTSB">#REF!</definedName>
    <definedName name="SJTSEK" localSheetId="5">#REF!</definedName>
    <definedName name="SJTSEK">#REF!</definedName>
    <definedName name="SJTTB" localSheetId="5">#REF!</definedName>
    <definedName name="SJTTB">#REF!</definedName>
    <definedName name="SK" localSheetId="5">#REF!</definedName>
    <definedName name="SK">#REF!</definedName>
    <definedName name="ss" localSheetId="5" hidden="1">#REF!</definedName>
    <definedName name="ss" hidden="1">#REF!</definedName>
    <definedName name="sss" localSheetId="5" hidden="1">#REF!</definedName>
    <definedName name="sss" hidden="1">#REF!</definedName>
    <definedName name="sssss" localSheetId="5" hidden="1">#REF!</definedName>
    <definedName name="sssss" hidden="1">#REF!</definedName>
    <definedName name="suda" localSheetId="5" hidden="1">#REF!</definedName>
    <definedName name="suda" hidden="1">#REF!</definedName>
    <definedName name="sw" localSheetId="5" hidden="1">{"'NewYork'!$AD$46","'NewYork'!$A$7:$BG$42"}</definedName>
    <definedName name="sw" hidden="1">{"'NewYork'!$AD$46","'NewYork'!$A$7:$BG$42"}</definedName>
    <definedName name="syuuhen" localSheetId="5" hidden="1">#REF!</definedName>
    <definedName name="syuuhen" hidden="1">#REF!</definedName>
    <definedName name="t" localSheetId="5" hidden="1">#REF!</definedName>
    <definedName name="t" hidden="1">#REF!</definedName>
    <definedName name="TAB_COUNT" localSheetId="5">#REF!</definedName>
    <definedName name="TAB_COUNT">#REF!</definedName>
    <definedName name="TAB_COUNT2" localSheetId="5">#REF!</definedName>
    <definedName name="TAB_COUNT2">#REF!</definedName>
    <definedName name="TBL_ID" localSheetId="5">#REF!</definedName>
    <definedName name="TBL_ID">#REF!</definedName>
    <definedName name="TBL_名称" localSheetId="5">#REF!</definedName>
    <definedName name="TBL_名称">#REF!</definedName>
    <definedName name="tblcode" localSheetId="5">#REF!</definedName>
    <definedName name="tblcode">#REF!</definedName>
    <definedName name="tblcode1" localSheetId="5">#REF!</definedName>
    <definedName name="tblcode1">#REF!</definedName>
    <definedName name="TEMP" localSheetId="5" hidden="1">#REF!</definedName>
    <definedName name="TEMP" hidden="1">#REF!</definedName>
    <definedName name="tes" localSheetId="5">#REF!</definedName>
    <definedName name="tes">#REF!</definedName>
    <definedName name="test" localSheetId="5">#REF!</definedName>
    <definedName name="test">#REF!</definedName>
    <definedName name="test1">#N/A</definedName>
    <definedName name="TextRefCopyRangeCount" hidden="1">28</definedName>
    <definedName name="TGL" localSheetId="5">#REF!</definedName>
    <definedName name="TGL">#REF!</definedName>
    <definedName name="THN" localSheetId="5">#REF!</definedName>
    <definedName name="THN">#REF!</definedName>
    <definedName name="THNLK" localSheetId="5">#REF!</definedName>
    <definedName name="THNLK">#REF!</definedName>
    <definedName name="tmp" hidden="1">#N/A</definedName>
    <definedName name="transactiontype" localSheetId="5">#REF!</definedName>
    <definedName name="transactiontype">#REF!</definedName>
    <definedName name="TT" localSheetId="5" hidden="1">#REF!</definedName>
    <definedName name="TT" hidden="1">#REF!</definedName>
    <definedName name="ｔｔｔ" localSheetId="5" hidden="1">#REF!</definedName>
    <definedName name="ｔｔｔ" hidden="1">#REF!</definedName>
    <definedName name="tttt" localSheetId="5" hidden="1">#REF!</definedName>
    <definedName name="tttt" hidden="1">#REF!</definedName>
    <definedName name="ttttt" localSheetId="5" hidden="1">#REF!</definedName>
    <definedName name="ttttt" hidden="1">#REF!</definedName>
    <definedName name="TYTY" localSheetId="5" hidden="1">{"'NewYork'!$AD$46","'NewYork'!$A$7:$BG$42"}</definedName>
    <definedName name="TYTY" hidden="1">{"'NewYork'!$AD$46","'NewYork'!$A$7:$BG$42"}</definedName>
    <definedName name="TYTYTYTYT" localSheetId="5" hidden="1">{"'NewYork'!$AD$46","'NewYork'!$A$7:$BG$42"}</definedName>
    <definedName name="TYTYTYTYT" hidden="1">{"'NewYork'!$AD$46","'NewYork'!$A$7:$BG$42"}</definedName>
    <definedName name="v" localSheetId="5" hidden="1">#REF!</definedName>
    <definedName name="v" hidden="1">#REF!</definedName>
    <definedName name="VP" localSheetId="5">#REF!</definedName>
    <definedName name="VP">#REF!</definedName>
    <definedName name="vv" localSheetId="5" hidden="1">#REF!</definedName>
    <definedName name="vv" hidden="1">#REF!</definedName>
    <definedName name="ｖｖｖ" localSheetId="5" hidden="1">#REF!</definedName>
    <definedName name="ｖｖｖ" hidden="1">#REF!</definedName>
    <definedName name="Ｗ" localSheetId="5" hidden="1">#REF!</definedName>
    <definedName name="Ｗ" hidden="1">#REF!</definedName>
    <definedName name="WEEK" localSheetId="5">#REF!</definedName>
    <definedName name="WEEK">#REF!</definedName>
    <definedName name="ｗｗ" localSheetId="5" hidden="1">#REF!</definedName>
    <definedName name="ｗｗ" hidden="1">#REF!</definedName>
    <definedName name="ｗｗｗ" localSheetId="5" hidden="1">#REF!</definedName>
    <definedName name="ｗｗｗ" hidden="1">#REF!</definedName>
    <definedName name="ｗｗｗｗ" localSheetId="5" hidden="1">#REF!</definedName>
    <definedName name="ｗｗｗｗ" hidden="1">#REF!</definedName>
    <definedName name="ｗｗｗｗｗｗ" localSheetId="5" hidden="1">#REF!</definedName>
    <definedName name="ｗｗｗｗｗｗ" hidden="1">#REF!</definedName>
    <definedName name="ｗｗｗｗｗｗｗ" localSheetId="5" hidden="1">#REF!</definedName>
    <definedName name="ｗｗｗｗｗｗｗ" hidden="1">#REF!</definedName>
    <definedName name="ｗｗｗｗｗｗｗｗｗｗｗｗｗ" localSheetId="5" hidden="1">#REF!</definedName>
    <definedName name="ｗｗｗｗｗｗｗｗｗｗｗｗｗ" hidden="1">#REF!</definedName>
    <definedName name="x" localSheetId="5">#REF!</definedName>
    <definedName name="x">#REF!</definedName>
    <definedName name="ＸＸ" localSheetId="5" hidden="1">#REF!</definedName>
    <definedName name="ＸＸ" hidden="1">#REF!</definedName>
    <definedName name="XXX" localSheetId="5" hidden="1">#REF!</definedName>
    <definedName name="XXX" hidden="1">#REF!</definedName>
    <definedName name="XXXX" localSheetId="5">#REF!</definedName>
    <definedName name="XXXX">#REF!</definedName>
    <definedName name="XXXXXXXXXX" localSheetId="5" hidden="1">#REF!</definedName>
    <definedName name="XXXXXXXXXX" hidden="1">#REF!</definedName>
    <definedName name="ｘｘｘｘｘｘｘｘｘｘｘｘｘｘ" localSheetId="5" hidden="1">#REF!</definedName>
    <definedName name="ｘｘｘｘｘｘｘｘｘｘｘｘｘｘ" hidden="1">#REF!</definedName>
    <definedName name="ｙ" localSheetId="5" hidden="1">#REF!</definedName>
    <definedName name="ｙ" hidden="1">#REF!</definedName>
    <definedName name="yama" localSheetId="5" hidden="1">#REF!</definedName>
    <definedName name="yama" hidden="1">#REF!</definedName>
    <definedName name="yama1" localSheetId="5" hidden="1">#REF!</definedName>
    <definedName name="yama1" hidden="1">#REF!</definedName>
    <definedName name="yama11" localSheetId="5" hidden="1">#REF!</definedName>
    <definedName name="yama11" hidden="1">#REF!</definedName>
    <definedName name="yama111" localSheetId="5" hidden="1">#REF!</definedName>
    <definedName name="yama111" hidden="1">#REF!</definedName>
    <definedName name="YesNo" localSheetId="5">#REF!</definedName>
    <definedName name="YesNo">#REF!</definedName>
    <definedName name="Z" localSheetId="5">#REF!</definedName>
    <definedName name="Z">#REF!</definedName>
    <definedName name="Z_00954B30_144B_11D5_AD88_00D0B77AEF43_.wvu.FilterData" localSheetId="5" hidden="1">#REF!</definedName>
    <definedName name="Z_00954B30_144B_11D5_AD88_00D0B77AEF43_.wvu.FilterData" hidden="1">#REF!</definedName>
    <definedName name="Z_00954B30_144B_11D5_AD88_00D0B77AEF43_.wvu.PrintTitles" localSheetId="5" hidden="1">#REF!,#REF!</definedName>
    <definedName name="Z_00954B30_144B_11D5_AD88_00D0B77AEF43_.wvu.PrintTitles" hidden="1">#REF!,#REF!</definedName>
    <definedName name="Z_01C2D571_C973_11D4_9CF3_00D0B7862332_.wvu.FilterData" localSheetId="5" hidden="1">#REF!</definedName>
    <definedName name="Z_01C2D571_C973_11D4_9CF3_00D0B7862332_.wvu.FilterData" hidden="1">#REF!</definedName>
    <definedName name="Z_70A9D736_E544_4001_86B2_4A2E4D41B817_.wvu.PrintArea" localSheetId="5" hidden="1">#REF!</definedName>
    <definedName name="Z_70A9D736_E544_4001_86B2_4A2E4D41B817_.wvu.PrintArea" hidden="1">#REF!</definedName>
    <definedName name="Z_918386A1_1675_11D5_8146_000255EC0817_.wvu.FilterData" localSheetId="5" hidden="1">#REF!</definedName>
    <definedName name="Z_918386A1_1675_11D5_8146_000255EC0817_.wvu.FilterData" hidden="1">#REF!</definedName>
    <definedName name="Z_A9F0B924_0364_4A0F_AC84_1394FFA54A9C_.wvu.PrintArea" localSheetId="5" hidden="1">#REF!</definedName>
    <definedName name="Z_A9F0B924_0364_4A0F_AC84_1394FFA54A9C_.wvu.PrintArea" hidden="1">#REF!</definedName>
    <definedName name="Z_B4CE63A3_C9AF_11D4_B14B_00D0B787A478_.wvu.FilterData" localSheetId="5" hidden="1">#REF!</definedName>
    <definedName name="Z_B4CE63A3_C9AF_11D4_B14B_00D0B787A478_.wvu.FilterData" hidden="1">#REF!</definedName>
    <definedName name="Z_B4CE63A3_C9AF_11D4_B14B_00D0B787A478_.wvu.PrintTitles" localSheetId="5" hidden="1">#REF!,#REF!</definedName>
    <definedName name="Z_B4CE63A3_C9AF_11D4_B14B_00D0B787A478_.wvu.PrintTitles" hidden="1">#REF!,#REF!</definedName>
    <definedName name="Z_B567E120_167C_11D5_8140_000255EC06F8_.wvu.FilterData" localSheetId="5" hidden="1">#REF!</definedName>
    <definedName name="Z_B567E120_167C_11D5_8140_000255EC06F8_.wvu.FilterData" hidden="1">#REF!</definedName>
    <definedName name="Z_BBC0CCE7_178D_11D5_8651_0004AC23646B_.wvu.FilterData" localSheetId="5" hidden="1">#REF!</definedName>
    <definedName name="Z_BBC0CCE7_178D_11D5_8651_0004AC23646B_.wvu.FilterData" hidden="1">#REF!</definedName>
    <definedName name="Z_BBC0CCF0_178D_11D5_8651_0004AC23646B_.wvu.FilterData" localSheetId="5" hidden="1">#REF!</definedName>
    <definedName name="Z_BBC0CCF0_178D_11D5_8651_0004AC23646B_.wvu.FilterData" hidden="1">#REF!</definedName>
    <definedName name="Z_BBC0CCF5_178D_11D5_8651_0004AC23646B_.wvu.FilterData" localSheetId="5" hidden="1">#REF!</definedName>
    <definedName name="Z_BBC0CCF5_178D_11D5_8651_0004AC23646B_.wvu.FilterData" hidden="1">#REF!</definedName>
    <definedName name="Z_BBC0CCFA_178D_11D5_8651_0004AC23646B_.wvu.FilterData" localSheetId="5" hidden="1">#REF!</definedName>
    <definedName name="Z_BBC0CCFA_178D_11D5_8651_0004AC23646B_.wvu.FilterData" hidden="1">#REF!</definedName>
    <definedName name="Z_C8681527_1740_11D5_8147_000255EC0817_.wvu.FilterData" localSheetId="5" hidden="1">#REF!</definedName>
    <definedName name="Z_C8681527_1740_11D5_8147_000255EC0817_.wvu.FilterData" hidden="1">#REF!</definedName>
    <definedName name="Z_D790FBB9_CBD1_11D4_80F4_000255EC0817_.wvu.FilterData" localSheetId="5" hidden="1">#REF!</definedName>
    <definedName name="Z_D790FBB9_CBD1_11D4_80F4_000255EC0817_.wvu.FilterData" hidden="1">#REF!</definedName>
    <definedName name="Z_D790FBB9_CBD1_11D4_80F4_000255EC0817_.wvu.PrintTitles" localSheetId="5" hidden="1">#REF!,#REF!</definedName>
    <definedName name="Z_D790FBB9_CBD1_11D4_80F4_000255EC0817_.wvu.PrintTitles" hidden="1">#REF!,#REF!</definedName>
    <definedName name="ｚｚ" localSheetId="5" hidden="1">#REF!</definedName>
    <definedName name="ｚｚ" hidden="1">#REF!</definedName>
    <definedName name="zzz" localSheetId="5">#REF!</definedName>
    <definedName name="zzz">#REF!</definedName>
    <definedName name="zzzz" localSheetId="5" hidden="1">{"'NewYork'!$AD$46","'NewYork'!$A$7:$BG$42"}</definedName>
    <definedName name="zzzz" hidden="1">{"'NewYork'!$AD$46","'NewYork'!$A$7:$BG$42"}</definedName>
    <definedName name="ZZZZZ" localSheetId="5" hidden="1">#REF!</definedName>
    <definedName name="ZZZZZ" hidden="1">#REF!</definedName>
    <definedName name="ｱ" localSheetId="5" hidden="1">#REF!</definedName>
    <definedName name="ｱ" hidden="1">#REF!</definedName>
    <definedName name="あ" localSheetId="5">#REF!</definedName>
    <definedName name="あ">#REF!</definedName>
    <definedName name="あ１" localSheetId="5">#REF!</definedName>
    <definedName name="あ１">#REF!</definedName>
    <definedName name="ああ" localSheetId="5" hidden="1">#REF!</definedName>
    <definedName name="ああ" hidden="1">#REF!</definedName>
    <definedName name="あああ" localSheetId="5" hidden="1">#REF!</definedName>
    <definedName name="あああ" hidden="1">#REF!</definedName>
    <definedName name="ああああ" localSheetId="5" hidden="1">#REF!</definedName>
    <definedName name="ああああ" hidden="1">#REF!</definedName>
    <definedName name="あああああ" localSheetId="5" hidden="1">#REF!</definedName>
    <definedName name="あああああ" hidden="1">#REF!</definedName>
    <definedName name="あああああああ" localSheetId="5" hidden="1">#REF!</definedName>
    <definedName name="あああああああ" hidden="1">#REF!</definedName>
    <definedName name="あああああああああ" localSheetId="5" hidden="1">#REF!</definedName>
    <definedName name="あああああああああ" hidden="1">#REF!</definedName>
    <definedName name="ああああああああああ" localSheetId="5" hidden="1">#REF!</definedName>
    <definedName name="ああああああああああ" hidden="1">#REF!</definedName>
    <definedName name="あああああああああああああ" localSheetId="5" hidden="1">#REF!</definedName>
    <definedName name="あああああああああああああ" hidden="1">#REF!</definedName>
    <definedName name="ああああああああああああああ" localSheetId="5">#REF!</definedName>
    <definedName name="ああああああああああああああ">#REF!</definedName>
    <definedName name="あああああああああああああああ" localSheetId="5" hidden="1">#REF!</definedName>
    <definedName name="あああああああああああああああ" hidden="1">#REF!</definedName>
    <definedName name="ああざ" localSheetId="5">#REF!</definedName>
    <definedName name="ああざ">#REF!</definedName>
    <definedName name="アクセス条件列指定" localSheetId="5">#REF!</definedName>
    <definedName name="アクセス条件列指定">#REF!</definedName>
    <definedName name="い" localSheetId="5">#REF!</definedName>
    <definedName name="い">#REF!</definedName>
    <definedName name="いい" localSheetId="5" hidden="1">#REF!</definedName>
    <definedName name="いい" hidden="1">#REF!</definedName>
    <definedName name="いいい" localSheetId="5">#REF!</definedName>
    <definedName name="いいい">#REF!</definedName>
    <definedName name="う" localSheetId="5" hidden="1">#REF!</definedName>
    <definedName name="う" hidden="1">#REF!</definedName>
    <definedName name="ううう" localSheetId="5" hidden="1">#REF!</definedName>
    <definedName name="ううう" hidden="1">#REF!</definedName>
    <definedName name="え" localSheetId="5" hidden="1">#REF!</definedName>
    <definedName name="え" hidden="1">#REF!</definedName>
    <definedName name="えええ" localSheetId="5" hidden="1">#REF!</definedName>
    <definedName name="えええ" hidden="1">#REF!</definedName>
    <definedName name="えええええ" localSheetId="5" hidden="1">#REF!</definedName>
    <definedName name="えええええ" hidden="1">#REF!</definedName>
    <definedName name="お" localSheetId="5" hidden="1">#REF!</definedName>
    <definedName name="お" hidden="1">#REF!</definedName>
    <definedName name="おおお" localSheetId="5" hidden="1">#REF!</definedName>
    <definedName name="おおお" hidden="1">#REF!</definedName>
    <definedName name="おおおおお" localSheetId="5" hidden="1">#REF!</definedName>
    <definedName name="おおおおお" hidden="1">#REF!</definedName>
    <definedName name="オプション" localSheetId="5">#REF!</definedName>
    <definedName name="オプション">#REF!</definedName>
    <definedName name="オリジナル・DUODay2プロジェクト設計版" localSheetId="5" hidden="1">{"'2.3 NT(ｱｶｳﾝﾄ)基本方針2'!$A$1:$AN$62"}</definedName>
    <definedName name="オリジナル・DUODay2プロジェクト設計版" hidden="1">{"'2.3 NT(ｱｶｳﾝﾄ)基本方針2'!$A$1:$AN$62"}</definedName>
    <definedName name="か" localSheetId="5" hidden="1">#REF!</definedName>
    <definedName name="か" hidden="1">#REF!</definedName>
    <definedName name="がたい" localSheetId="5" hidden="1">#REF!</definedName>
    <definedName name="がたい" hidden="1">#REF!</definedName>
    <definedName name="かんじ" localSheetId="5" hidden="1">#REF!</definedName>
    <definedName name="かんじ" hidden="1">#REF!</definedName>
    <definedName name="き" localSheetId="5" hidden="1">#REF!</definedName>
    <definedName name="き" hidden="1">#REF!</definedName>
    <definedName name="く" localSheetId="5">#REF!</definedName>
    <definedName name="く">#REF!</definedName>
    <definedName name="コミットパートアウトキャッシュフロー" localSheetId="5">#REF!</definedName>
    <definedName name="コミットパートアウトキャッシュフロー">#REF!</definedName>
    <definedName name="コミットパートアウト取引" localSheetId="5">#REF!</definedName>
    <definedName name="コミットパートアウト取引">#REF!</definedName>
    <definedName name="コミットパートアウト実行残高フロー" localSheetId="5">#REF!</definedName>
    <definedName name="コミットパートアウト実行残高フロー">#REF!</definedName>
    <definedName name="コミットパートアウト手数料フロー" localSheetId="5">#REF!</definedName>
    <definedName name="コミットパートアウト手数料フロー">#REF!</definedName>
    <definedName name="コミットパートアウト枠フロー" localSheetId="5">#REF!</definedName>
    <definedName name="コミットパートアウト枠フロー">#REF!</definedName>
    <definedName name="コミットパートアウト決済" localSheetId="5">#REF!</definedName>
    <definedName name="コミットパートアウト決済">#REF!</definedName>
    <definedName name="コミットメントキャッシュフロー" localSheetId="5">#REF!</definedName>
    <definedName name="コミットメントキャッシュフロー">#REF!</definedName>
    <definedName name="コミットメント取引" localSheetId="5">#REF!</definedName>
    <definedName name="コミットメント取引">#REF!</definedName>
    <definedName name="コミットメント実行残高フロー" localSheetId="5">#REF!</definedName>
    <definedName name="コミットメント実行残高フロー">#REF!</definedName>
    <definedName name="コミットメント手数料フロー" localSheetId="5">#REF!</definedName>
    <definedName name="コミットメント手数料フロー">#REF!</definedName>
    <definedName name="コミットメント枠フロー" localSheetId="5">#REF!</definedName>
    <definedName name="コミットメント枠フロー">#REF!</definedName>
    <definedName name="コミットメント決済" localSheetId="5">#REF!</definedName>
    <definedName name="コミットメント決済">#REF!</definedName>
    <definedName name="コメント" localSheetId="5">#REF!</definedName>
    <definedName name="コメント">#REF!</definedName>
    <definedName name="さしすせそ" localSheetId="5" hidden="1">#REF!</definedName>
    <definedName name="さしすせそ" hidden="1">#REF!</definedName>
    <definedName name="サブ間IF" localSheetId="5" hidden="1">#REF!</definedName>
    <definedName name="サブ間IF" hidden="1">#REF!</definedName>
    <definedName name="さんpる" localSheetId="5" hidden="1">#REF!</definedName>
    <definedName name="さんpる" hidden="1">#REF!</definedName>
    <definedName name="サンプル" localSheetId="5" hidden="1">#REF!</definedName>
    <definedName name="サンプル" hidden="1">#REF!</definedName>
    <definedName name="タスクドキュメント" localSheetId="5" hidden="1">#REF!</definedName>
    <definedName name="タスクドキュメント" hidden="1">#REF!</definedName>
    <definedName name="タスクドキュメント１" localSheetId="5" hidden="1">#REF!</definedName>
    <definedName name="タスクドキュメント１" hidden="1">#REF!</definedName>
    <definedName name="タスクドキュメント２" localSheetId="5" hidden="1">#REF!</definedName>
    <definedName name="タスクドキュメント２" hidden="1">#REF!</definedName>
    <definedName name="たちつてと" localSheetId="5" hidden="1">#REF!</definedName>
    <definedName name="たちつてと" hidden="1">#REF!</definedName>
    <definedName name="チェック結果" localSheetId="5" hidden="1">#REF!</definedName>
    <definedName name="チェック結果" hidden="1">#REF!</definedName>
    <definedName name="テーブル" localSheetId="5" hidden="1">#REF!</definedName>
    <definedName name="テーブル" hidden="1">#REF!</definedName>
    <definedName name="テーブル名" localSheetId="5">#REF!</definedName>
    <definedName name="テーブル名">#REF!</definedName>
    <definedName name="テラー" localSheetId="5" hidden="1">#REF!</definedName>
    <definedName name="テラー" hidden="1">#REF!</definedName>
    <definedName name="ﾊﾞｯﾁDFD" localSheetId="5" hidden="1">#REF!</definedName>
    <definedName name="ﾊﾞｯﾁDFD" hidden="1">#REF!</definedName>
    <definedName name="ﾊﾞｯﾁ帳票" localSheetId="5" hidden="1">#REF!</definedName>
    <definedName name="ﾊﾞｯﾁ帳票" hidden="1">#REF!</definedName>
    <definedName name="ﾊﾞｯﾁ帳票一覧" localSheetId="5" hidden="1">#REF!</definedName>
    <definedName name="ﾊﾞｯﾁ帳票一覧" hidden="1">#REF!</definedName>
    <definedName name="パラメータ" localSheetId="5" hidden="1">#REF!</definedName>
    <definedName name="パラメータ" hidden="1">#REF!</definedName>
    <definedName name="パラメータ１" localSheetId="5" hidden="1">#REF!</definedName>
    <definedName name="パラメータ１" hidden="1">#REF!</definedName>
    <definedName name="ﾌｧｲﾙID" localSheetId="5">#REF!</definedName>
    <definedName name="ﾌｧｲﾙID">#REF!</definedName>
    <definedName name="ﾌｧｲﾙID５" localSheetId="5">#REF!</definedName>
    <definedName name="ﾌｧｲﾙID５">#REF!</definedName>
    <definedName name="ファイルIDC" localSheetId="5">#REF!</definedName>
    <definedName name="ファイルIDC">#REF!</definedName>
    <definedName name="ﾌｧｲﾙﾁｪｯｸ２" localSheetId="5">#REF!</definedName>
    <definedName name="ﾌｧｲﾙﾁｪｯｸ２">#REF!</definedName>
    <definedName name="ﾌｧｲﾙ名" localSheetId="5">#REF!</definedName>
    <definedName name="ﾌｧｲﾙ名">#REF!</definedName>
    <definedName name="ﾌｧｲﾙ名１" localSheetId="5">#REF!</definedName>
    <definedName name="ﾌｧｲﾙ名１">#REF!</definedName>
    <definedName name="ﾌｧｲﾙ名2" localSheetId="5">#REF!</definedName>
    <definedName name="ﾌｧｲﾙ名2">#REF!</definedName>
    <definedName name="ﾌｧｲﾙ名３" localSheetId="5">#REF!</definedName>
    <definedName name="ﾌｧｲﾙ名３">#REF!</definedName>
    <definedName name="ファイル名５" localSheetId="5">#REF!</definedName>
    <definedName name="ファイル名５">#REF!</definedName>
    <definedName name="ﾌｧｲﾙ名C" localSheetId="5">#REF!</definedName>
    <definedName name="ﾌｧｲﾙ名C">#REF!</definedName>
    <definedName name="ﾌﾟﾛｸﾞﾗﾑID" localSheetId="5">#REF!</definedName>
    <definedName name="ﾌﾟﾛｸﾞﾗﾑID">#REF!</definedName>
    <definedName name="ﾌﾟﾛｸﾞﾗﾑ名称" localSheetId="5">#REF!</definedName>
    <definedName name="ﾌﾟﾛｸﾞﾗﾑ名称">#REF!</definedName>
    <definedName name="へ高" localSheetId="5" hidden="1">#REF!</definedName>
    <definedName name="へ高" hidden="1">#REF!</definedName>
    <definedName name="ぽい" localSheetId="5" hidden="1">#REF!</definedName>
    <definedName name="ぽい" hidden="1">#REF!</definedName>
    <definedName name="み" localSheetId="5" hidden="1">#REF!</definedName>
    <definedName name="み" hidden="1">#REF!</definedName>
    <definedName name="メッセージ" localSheetId="5">#REF!</definedName>
    <definedName name="メッセージ">#REF!</definedName>
    <definedName name="ﾒﾝﾊﾞ1" localSheetId="5">#REF!</definedName>
    <definedName name="ﾒﾝﾊﾞ1">#REF!</definedName>
    <definedName name="ﾒﾝﾊﾞ2" localSheetId="5">#REF!</definedName>
    <definedName name="ﾒﾝﾊﾞ2">#REF!</definedName>
    <definedName name="メンバ３" localSheetId="5">#REF!</definedName>
    <definedName name="メンバ３">#REF!</definedName>
    <definedName name="ﾚﾋﾞｭｰ１１２６" localSheetId="5" hidden="1">#REF!</definedName>
    <definedName name="ﾚﾋﾞｭｰ１１２６" hidden="1">#REF!</definedName>
    <definedName name="ロックなし読み取り" localSheetId="5">#REF!</definedName>
    <definedName name="ロックなし読み取り">#REF!</definedName>
    <definedName name="ロック固定" localSheetId="5">#REF!</definedName>
    <definedName name="ロック固定">#REF!</definedName>
    <definedName name="んｎ" localSheetId="5" hidden="1">#REF!</definedName>
    <definedName name="んｎ" hidden="1">#REF!</definedName>
    <definedName name="作成者" localSheetId="5">#REF!</definedName>
    <definedName name="作成者">#REF!</definedName>
    <definedName name="作成要領" localSheetId="5" hidden="1">#REF!</definedName>
    <definedName name="作成要領" hidden="1">#REF!</definedName>
    <definedName name="先頭１行読み" localSheetId="5">#REF!</definedName>
    <definedName name="先頭１行読み">#REF!</definedName>
    <definedName name="円" localSheetId="5">#REF!</definedName>
    <definedName name="円">#REF!</definedName>
    <definedName name="円→ドル" localSheetId="5">#REF!</definedName>
    <definedName name="円→ドル">#REF!</definedName>
    <definedName name="勘定共通部あ" localSheetId="5" hidden="1">#REF!</definedName>
    <definedName name="勘定共通部あ" hidden="1">#REF!</definedName>
    <definedName name="区分１" localSheetId="5">#REF!</definedName>
    <definedName name="区分１">#REF!</definedName>
    <definedName name="区分２" localSheetId="5">#REF!</definedName>
    <definedName name="区分２">#REF!</definedName>
    <definedName name="区分3" localSheetId="5">#REF!</definedName>
    <definedName name="区分3">#REF!</definedName>
    <definedName name="参照項" localSheetId="5">#REF!</definedName>
    <definedName name="参照項">#REF!</definedName>
    <definedName name="収益" localSheetId="5">#REF!</definedName>
    <definedName name="収益">#REF!</definedName>
    <definedName name="口座開設" localSheetId="5">#REF!</definedName>
    <definedName name="口座開設">#REF!</definedName>
    <definedName name="口座開設レイアウト" localSheetId="5">#REF!</definedName>
    <definedName name="口座開設レイアウト">#REF!</definedName>
    <definedName name="名前変更" localSheetId="5" hidden="1">#REF!</definedName>
    <definedName name="名前変更" hidden="1">#REF!</definedName>
    <definedName name="名称" localSheetId="5">#REF!</definedName>
    <definedName name="名称">#REF!</definedName>
    <definedName name="回答" localSheetId="5">#REF!</definedName>
    <definedName name="回答">#REF!</definedName>
    <definedName name="基準日" localSheetId="5">#REF!</definedName>
    <definedName name="基準日">#REF!</definedName>
    <definedName name="基準日DD" localSheetId="5">#REF!</definedName>
    <definedName name="基準日DD">#REF!</definedName>
    <definedName name="変更" localSheetId="5">#REF!</definedName>
    <definedName name="変更">#REF!</definedName>
    <definedName name="変更Ｂ" localSheetId="5">#REF!</definedName>
    <definedName name="変更Ｂ">#REF!</definedName>
    <definedName name="変更後" localSheetId="5" hidden="1">#REF!</definedName>
    <definedName name="変更後" hidden="1">#REF!</definedName>
    <definedName name="外部ﾓｼﾞｭｰﾙID" localSheetId="5">#REF!</definedName>
    <definedName name="外部ﾓｼﾞｭｰﾙID">#REF!</definedName>
    <definedName name="外部ﾓｼﾞｭｰﾙ名称" localSheetId="5">#REF!</definedName>
    <definedName name="外部ﾓｼﾞｭｰﾙ名称">#REF!</definedName>
    <definedName name="外部設計書" localSheetId="5" hidden="1">#REF!</definedName>
    <definedName name="外部設計書" hidden="1">#REF!</definedName>
    <definedName name="嫁ごう" localSheetId="5" hidden="1">#REF!</definedName>
    <definedName name="嫁ごう" hidden="1">#REF!</definedName>
    <definedName name="安藤" localSheetId="5" hidden="1">#REF!</definedName>
    <definedName name="安藤" hidden="1">#REF!</definedName>
    <definedName name="導入時期う" localSheetId="5" hidden="1">#REF!</definedName>
    <definedName name="導入時期う" hidden="1">#REF!</definedName>
    <definedName name="帳票" localSheetId="5">#REF!</definedName>
    <definedName name="帳票">#REF!</definedName>
    <definedName name="帳票ＩＤ" localSheetId="5">#REF!</definedName>
    <definedName name="帳票ＩＤ">#REF!</definedName>
    <definedName name="帳票レイアウト２" localSheetId="5">#REF!</definedName>
    <definedName name="帳票レイアウト２">#REF!</definedName>
    <definedName name="帳票名" localSheetId="5">#REF!</definedName>
    <definedName name="帳票名">#REF!</definedName>
    <definedName name="帳票名称" localSheetId="5">#REF!</definedName>
    <definedName name="帳票名称">#REF!</definedName>
    <definedName name="帳票日本語" localSheetId="5">#REF!</definedName>
    <definedName name="帳票日本語">#REF!</definedName>
    <definedName name="帳票英名" localSheetId="5">#REF!</definedName>
    <definedName name="帳票英名">#REF!</definedName>
    <definedName name="帳票電文ID" localSheetId="5">#REF!</definedName>
    <definedName name="帳票電文ID">#REF!</definedName>
    <definedName name="帳票電文名称" localSheetId="5">#REF!</definedName>
    <definedName name="帳票電文名称">#REF!</definedName>
    <definedName name="店番情報" localSheetId="5">#REF!</definedName>
    <definedName name="店番情報">#REF!</definedName>
    <definedName name="担当" localSheetId="5">#REF!</definedName>
    <definedName name="担当">#REF!</definedName>
    <definedName name="担当会社" localSheetId="5">#REF!</definedName>
    <definedName name="担当会社">#REF!</definedName>
    <definedName name="担当者" localSheetId="5">#REF!</definedName>
    <definedName name="担当者">#REF!</definedName>
    <definedName name="担当者名" localSheetId="5">#REF!</definedName>
    <definedName name="担当者名">#REF!</definedName>
    <definedName name="木" localSheetId="5" hidden="1">#REF!</definedName>
    <definedName name="木" hidden="1">#REF!</definedName>
    <definedName name="束原" localSheetId="5" hidden="1">#REF!</definedName>
    <definedName name="束原" hidden="1">#REF!</definedName>
    <definedName name="栗" localSheetId="5" hidden="1">#REF!</definedName>
    <definedName name="栗" hidden="1">#REF!</definedName>
    <definedName name="検索列指定" localSheetId="5">#REF!</definedName>
    <definedName name="検索列指定">#REF!</definedName>
    <definedName name="業務共通" localSheetId="5">#REF!</definedName>
    <definedName name="業務共通">#REF!</definedName>
    <definedName name="機構" localSheetId="5" hidden="1">#REF!</definedName>
    <definedName name="機構" hidden="1">#REF!</definedName>
    <definedName name="機能一覧" localSheetId="5">#REF!</definedName>
    <definedName name="機能一覧">#REF!</definedName>
    <definedName name="画面ID" localSheetId="5">#REF!</definedName>
    <definedName name="画面ID">#REF!</definedName>
    <definedName name="画面ﾚｲｱｳﾄ" localSheetId="5" hidden="1">#REF!</definedName>
    <definedName name="画面ﾚｲｱｳﾄ" hidden="1">#REF!</definedName>
    <definedName name="画面名称" localSheetId="5">#REF!</definedName>
    <definedName name="画面名称">#REF!</definedName>
    <definedName name="画面定義書" localSheetId="5" hidden="1">#REF!</definedName>
    <definedName name="画面定義書" hidden="1">#REF!</definedName>
    <definedName name="画面電文ID" localSheetId="5">#REF!</definedName>
    <definedName name="画面電文ID">#REF!</definedName>
    <definedName name="画面電文名称" localSheetId="5">#REF!</definedName>
    <definedName name="画面電文名称">#REF!</definedName>
    <definedName name="編集９９９９" localSheetId="5" hidden="1">#REF!</definedName>
    <definedName name="編集９９９９" hidden="1">#REF!</definedName>
    <definedName name="編集仕様" localSheetId="5" hidden="1">#REF!</definedName>
    <definedName name="編集仕様" hidden="1">#REF!</definedName>
    <definedName name="表列情報日付" localSheetId="5">#REF!</definedName>
    <definedName name="表列情報日付">#REF!</definedName>
    <definedName name="表紙" localSheetId="5" hidden="1">#REF!</definedName>
    <definedName name="表紙" hidden="1">#REF!</definedName>
    <definedName name="表紙１" localSheetId="5" hidden="1">#REF!</definedName>
    <definedName name="表紙１" hidden="1">#REF!</definedName>
    <definedName name="要件定義書No23" localSheetId="5" hidden="1">{"'NewYork'!$AD$46","'NewYork'!$A$7:$BG$42"}</definedName>
    <definedName name="要件定義書No23" hidden="1">{"'NewYork'!$AD$46","'NewYork'!$A$7:$BG$42"}</definedName>
    <definedName name="規定" localSheetId="5" hidden="1">#REF!</definedName>
    <definedName name="規定" hidden="1">#REF!</definedName>
    <definedName name="論理テーブル定義書" localSheetId="5" hidden="1">#REF!</definedName>
    <definedName name="論理テーブル定義書" hidden="1">#REF!</definedName>
    <definedName name="部品" localSheetId="5" hidden="1">#REF!</definedName>
    <definedName name="部品" hidden="1">#REF!</definedName>
    <definedName name="部品ＩＤ" localSheetId="5">#REF!</definedName>
    <definedName name="部品ＩＤ">#REF!</definedName>
    <definedName name="関数読み" localSheetId="5">#REF!</definedName>
    <definedName name="関数読み">#REF!</definedName>
    <definedName name="関連表" localSheetId="5" hidden="1">#REF!</definedName>
    <definedName name="関連表" hidden="1">#REF!</definedName>
    <definedName name="関連表１" localSheetId="5" hidden="1">#REF!</definedName>
    <definedName name="関連表１" hidden="1">#REF!</definedName>
    <definedName name="電文ID" localSheetId="5">#REF!</definedName>
    <definedName name="電文ID">#REF!</definedName>
    <definedName name="電文名称" localSheetId="5">#REF!</definedName>
    <definedName name="電文名称">#REF!</definedName>
    <definedName name="項目明細Ａ" localSheetId="5" hidden="1">#REF!</definedName>
    <definedName name="項目明細Ａ" hidden="1">#REF!</definedName>
    <definedName name="項目編集明細" localSheetId="5" hidden="1">#REF!</definedName>
    <definedName name="項目編集明細" hidden="1">#REF!</definedName>
    <definedName name="項目編集明細_LM0000_S22_参照" localSheetId="5">#REF!</definedName>
    <definedName name="項目編集明細_LM0000_S22_参照">#REF!</definedName>
    <definedName name="項目編集明細_LQ0000_S31_参照" localSheetId="5">#REF!</definedName>
    <definedName name="項目編集明細_LQ0000_S31_参照">#REF!</definedName>
    <definedName name="項目編集明細_LQ0000_S32_参照" localSheetId="5">#REF!</definedName>
    <definedName name="項目編集明細_LQ0000_S32_参照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0" i="1" l="1"/>
  <c r="H129" i="1"/>
  <c r="H123" i="1"/>
  <c r="H109" i="1"/>
  <c r="H108" i="1"/>
  <c r="H107" i="1"/>
  <c r="H106" i="1"/>
  <c r="H105" i="1"/>
  <c r="H104" i="1"/>
  <c r="H103" i="1"/>
  <c r="H102" i="1"/>
  <c r="H101" i="1"/>
  <c r="H100" i="1"/>
  <c r="H98" i="1"/>
  <c r="H97" i="1"/>
  <c r="H96" i="1"/>
  <c r="H95" i="1"/>
  <c r="H94" i="1"/>
  <c r="H93" i="1"/>
  <c r="H92" i="1"/>
  <c r="H91" i="1"/>
  <c r="H87" i="1"/>
  <c r="H86" i="1"/>
  <c r="H83" i="1"/>
  <c r="H79" i="1"/>
  <c r="H68" i="1"/>
  <c r="H51" i="1"/>
  <c r="H22" i="1"/>
  <c r="H99" i="1"/>
  <c r="H81" i="1"/>
  <c r="H80" i="1"/>
  <c r="H78" i="1"/>
  <c r="H77" i="1"/>
  <c r="H76" i="1"/>
  <c r="H75" i="1"/>
  <c r="H74" i="1"/>
  <c r="H73" i="1"/>
  <c r="H72" i="1"/>
  <c r="H71" i="1"/>
  <c r="H70" i="1"/>
  <c r="H65" i="1"/>
  <c r="H18" i="1"/>
  <c r="H19" i="1"/>
  <c r="H20" i="1"/>
  <c r="H21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6" i="1"/>
  <c r="H67" i="1"/>
  <c r="H69" i="1"/>
  <c r="H82" i="1"/>
  <c r="H84" i="1"/>
  <c r="H85" i="1"/>
  <c r="H88" i="1"/>
  <c r="H89" i="1"/>
  <c r="H90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4" i="1"/>
  <c r="H125" i="1"/>
  <c r="H126" i="1"/>
  <c r="H127" i="1"/>
  <c r="H128" i="1"/>
  <c r="H17" i="1"/>
</calcChain>
</file>

<file path=xl/sharedStrings.xml><?xml version="1.0" encoding="utf-8"?>
<sst xmlns="http://schemas.openxmlformats.org/spreadsheetml/2006/main" count="937" uniqueCount="264">
  <si>
    <t>Changes History</t>
  </si>
  <si>
    <t>Version</t>
  </si>
  <si>
    <t>Release Date</t>
  </si>
  <si>
    <t>Editor</t>
  </si>
  <si>
    <t>Mapping Sheet</t>
  </si>
  <si>
    <t>Change Summary</t>
  </si>
  <si>
    <t>Remarks</t>
  </si>
  <si>
    <t>V.1.0</t>
  </si>
  <si>
    <t>Widya Revin</t>
  </si>
  <si>
    <t>LIMIT</t>
  </si>
  <si>
    <t>Initial Mapping</t>
  </si>
  <si>
    <t>Rename field : 
ORI_INIT_LIMIT_AMT --&gt; FCY_INIT_LIMIT_AMT
ORI_LIMIT_AMT --&gt; FCY_LIMIT_AMT
ORI_BAL --&gt; FCY_BAL
ORI_AVAIL -&gt; FCY_AVAIL
ORI_UTILIZATION --&gt; FCY_UTILIZATION
ORI_MARKET_LIMIT_AMT --&gt; FCY_MARKET_LIMIT_AMT
ORI_DISBURSE_AVAIL --&gt; FCY_DISBURSE_AVAIL
ORI_EXPOSURE --&gt; FCY_EXPOSURE</t>
  </si>
  <si>
    <t>Request by Mas Septian terkait request Mba Tari untuk perubahan field ORI menjadi FCY di DM</t>
  </si>
  <si>
    <t>FASE II</t>
  </si>
  <si>
    <t>V.1.1</t>
  </si>
  <si>
    <t>UPDATE LOGIC IN FIELD : 
- LIAB_NAME 
- COLL_STATUS
- DIN</t>
  </si>
  <si>
    <t>Update logic menyesuaikan dengan field ter-update IM_LIMIT. Request by IRRS supaya tidak terjadi error untuk EOD-nya IRRS.</t>
  </si>
  <si>
    <t>Rename field : 
FCY_INIT_LIMIT_AMT --&gt; ORI_INIT_LIMIT_AMT
FCY_LIMIT_AMT --&gt; ORI_LIMIT_AMT 
FCY_BAL --&gt; ORI_BAL
FCY_AVAIL --&gt; ORI_AVAIL
FCY_UTILIZATION --&gt; ORI_UTILIZATION
FCY_MARKET_LIMIT_AMT --&gt; ORI_MARKET_LIMIT_AMT
FCY_DISBURSE_AVAIL --&gt; ORI_DISBURSE_AVAIL
FCY_EXPOSURE --&gt; ORI_EXPOSURE</t>
  </si>
  <si>
    <t>Mengembalikan field yang pernah dirilis di 29 Oct ke field setelah discuss di zoom dengan tim LPEI (Mas Rafi &amp; Pak Irfan)</t>
  </si>
  <si>
    <t>ADD FIELD :
- IS_CHILD
- PARENT_LINE_CODE</t>
  </si>
  <si>
    <t>Request by Noto to identify parent and child from a facility</t>
  </si>
  <si>
    <t>Report Form</t>
  </si>
  <si>
    <t>-</t>
  </si>
  <si>
    <t>Report Name</t>
  </si>
  <si>
    <t>System</t>
  </si>
  <si>
    <t>DWH</t>
  </si>
  <si>
    <t>Department in Charge</t>
  </si>
  <si>
    <t>Description</t>
  </si>
  <si>
    <t>Contents</t>
  </si>
  <si>
    <t>Data mart regarding Limit information.</t>
  </si>
  <si>
    <t>Frequency</t>
  </si>
  <si>
    <t>Review</t>
  </si>
  <si>
    <t>Version</t>
    <phoneticPr fontId="0"/>
  </si>
  <si>
    <t>Sheet</t>
  </si>
  <si>
    <t>Name</t>
  </si>
  <si>
    <t>Config</t>
  </si>
  <si>
    <t>Table configuration</t>
  </si>
  <si>
    <t>Mapping DM_LIMIT is related to Limit Facility placement</t>
  </si>
  <si>
    <t>Reference</t>
  </si>
  <si>
    <t>MS_BUSINESS_PARAM_DTL as reference table</t>
  </si>
  <si>
    <t>TABLE_NAME</t>
  </si>
  <si>
    <t>COLUMN_NAME</t>
  </si>
  <si>
    <t>DATA_TYPE</t>
  </si>
  <si>
    <t>Length</t>
  </si>
  <si>
    <t>GRD_COL_NM</t>
  </si>
  <si>
    <t>IM_LIMIT</t>
  </si>
  <si>
    <t>BUSINESS_DATE</t>
  </si>
  <si>
    <t>Date</t>
  </si>
  <si>
    <t>DATA_SOURCE</t>
  </si>
  <si>
    <t>Varchar</t>
  </si>
  <si>
    <t>PARTY_NO</t>
  </si>
  <si>
    <t>ACCT_NO</t>
  </si>
  <si>
    <t>SPRTY_NO</t>
  </si>
  <si>
    <t>ID_PARTY</t>
  </si>
  <si>
    <t>POOL_ID</t>
  </si>
  <si>
    <t>NUMERIC</t>
  </si>
  <si>
    <t>LIMIT_NO</t>
  </si>
  <si>
    <t>INIT_CONTRACT_NO</t>
  </si>
  <si>
    <t>BRANCH_CD</t>
  </si>
  <si>
    <t>RESTRU_CD</t>
  </si>
  <si>
    <t>CCY_CD</t>
  </si>
  <si>
    <t>Char</t>
  </si>
  <si>
    <t>CREDIT_CLASS</t>
  </si>
  <si>
    <t>OPERATION</t>
  </si>
  <si>
    <t>TRANSFER_OS</t>
  </si>
  <si>
    <t>SID_START</t>
  </si>
  <si>
    <t>SYR_CONTRACT</t>
  </si>
  <si>
    <t>SPECPROD_NONPKE</t>
  </si>
  <si>
    <t>PROGRAM_PKE</t>
  </si>
  <si>
    <t>ID_BANK</t>
  </si>
  <si>
    <t>ID_FACILITY</t>
  </si>
  <si>
    <t>ID_BRANCH_OFFICE</t>
  </si>
  <si>
    <t>ID_OFFICE</t>
  </si>
  <si>
    <t>ID_CCY</t>
  </si>
  <si>
    <t>ACC_TP</t>
  </si>
  <si>
    <t>ACCT_TP</t>
  </si>
  <si>
    <t>FAC_TP</t>
  </si>
  <si>
    <t>USAGE_TP</t>
  </si>
  <si>
    <t>PROD_TP</t>
  </si>
  <si>
    <t>ORIENT_TP</t>
  </si>
  <si>
    <t>INT_TP</t>
  </si>
  <si>
    <t>RESTRU_TP</t>
  </si>
  <si>
    <t>NOVATION_TP</t>
  </si>
  <si>
    <t>RESTRU_CNT</t>
  </si>
  <si>
    <t>Smallint</t>
  </si>
  <si>
    <t>LIMIT_CAT</t>
  </si>
  <si>
    <t>SYND_PART_PCT</t>
  </si>
  <si>
    <t>Numeric</t>
  </si>
  <si>
    <t>MAIN_CA</t>
  </si>
  <si>
    <t>LATEST_CA</t>
  </si>
  <si>
    <t>SERIAL_NO</t>
  </si>
  <si>
    <t>PRJ_LOC</t>
  </si>
  <si>
    <t>DATI2</t>
  </si>
  <si>
    <t>CB_LOC_CD</t>
  </si>
  <si>
    <t>HS_ES_CD</t>
  </si>
  <si>
    <t>ECO_SECTOR_CD</t>
  </si>
  <si>
    <t>BUS_PROG_CD</t>
  </si>
  <si>
    <t>GOV_CR_CD</t>
  </si>
  <si>
    <t>CONTRACT_TP_CD</t>
  </si>
  <si>
    <t>CR_TP_CD</t>
  </si>
  <si>
    <t>LOAN_QUALITY_CONTRACT</t>
  </si>
  <si>
    <t>INIT_CONTRACT_DT</t>
  </si>
  <si>
    <t>INT_RT_INFO</t>
  </si>
  <si>
    <t>NATURE_INT_RT</t>
  </si>
  <si>
    <t>INT_RT</t>
  </si>
  <si>
    <t>CONTRACT_NO</t>
  </si>
  <si>
    <t>CONTRACT_DT</t>
  </si>
  <si>
    <t>DUE_DT</t>
  </si>
  <si>
    <t>MATURITY_DT</t>
  </si>
  <si>
    <t>VALUE_DT</t>
  </si>
  <si>
    <t>START_DT</t>
  </si>
  <si>
    <t>CREDIT_START_DT</t>
  </si>
  <si>
    <t>RESTRU_DT</t>
  </si>
  <si>
    <t>RESTRU_START_DT</t>
  </si>
  <si>
    <t>NOVATION_DT</t>
  </si>
  <si>
    <t>EXP_REV_PKE</t>
  </si>
  <si>
    <t>EXP_REV_PKE_DT</t>
  </si>
  <si>
    <t>RATING_CURR_DT</t>
  </si>
  <si>
    <t>GROUP_LIMIT</t>
  </si>
  <si>
    <t>RATE_FCY</t>
  </si>
  <si>
    <t>RATE_FLOAT_REF</t>
  </si>
  <si>
    <t>LIMIT_RENEW_CNT</t>
  </si>
  <si>
    <t>PRJ_AMT</t>
  </si>
  <si>
    <t>COLL_AMT</t>
  </si>
  <si>
    <t>COLL_STATUS</t>
  </si>
  <si>
    <t>LIMIT_STATUS</t>
  </si>
  <si>
    <t>RECORD_STATUS</t>
  </si>
  <si>
    <t>FCY_INIT_LIMIT_AMT</t>
  </si>
  <si>
    <t>LCY_INIT_LIMIT_AMT</t>
  </si>
  <si>
    <t>FCY_LIMIT_AMT</t>
  </si>
  <si>
    <t>LCY_LIMIT_AMT</t>
  </si>
  <si>
    <t>LCY_BAL</t>
  </si>
  <si>
    <t>FCY_BAL</t>
  </si>
  <si>
    <t>LCY_AVAIL</t>
  </si>
  <si>
    <t>FCY_AVAIL</t>
  </si>
  <si>
    <t>LAST_AVAIL_DT</t>
  </si>
  <si>
    <t>LCY_UTILIZATION</t>
  </si>
  <si>
    <t>FCY_UTILIZATION</t>
  </si>
  <si>
    <t>FCY_MARKET_LIMIT_AMT</t>
  </si>
  <si>
    <t>LCY_MARKET_LIMIT_AMT</t>
  </si>
  <si>
    <t>FCY_DISBURSE_AVAIL</t>
  </si>
  <si>
    <t>LCY_DISBURSE_AVAIL</t>
  </si>
  <si>
    <t>FCY_EXPOSURE</t>
  </si>
  <si>
    <t>LCY_EXPOSURE</t>
  </si>
  <si>
    <t>CUM_REALIZATION</t>
  </si>
  <si>
    <t>PPAP</t>
  </si>
  <si>
    <t>REVOLVING</t>
  </si>
  <si>
    <t>RE_ASSURANCE</t>
  </si>
  <si>
    <t>DIN</t>
  </si>
  <si>
    <t>MAIN_LIMIT_REF</t>
  </si>
  <si>
    <t>MAIN_LINE</t>
  </si>
  <si>
    <t>MAIN_LINE_ID</t>
  </si>
  <si>
    <t>DATA_ID</t>
  </si>
  <si>
    <t>FAC_ID</t>
  </si>
  <si>
    <t>NEW_ID</t>
  </si>
  <si>
    <t>DEBTOR_CONDITION</t>
  </si>
  <si>
    <t>DEBTOR_ISSUE</t>
  </si>
  <si>
    <t>ORI_DEBTOR</t>
  </si>
  <si>
    <t>LIAB_NAME</t>
  </si>
  <si>
    <t>DISCOUNT</t>
  </si>
  <si>
    <t>IS_SUBLIMIT</t>
  </si>
  <si>
    <t>NOTES_TXT</t>
  </si>
  <si>
    <t>REVIEW_TERMS</t>
  </si>
  <si>
    <t>CREDIT_NATURE</t>
  </si>
  <si>
    <t>FAC_CONDITION</t>
  </si>
  <si>
    <t>DESTINATION TABLE: DM_LIMIT</t>
  </si>
  <si>
    <t>DATA SOURCE</t>
  </si>
  <si>
    <t>No</t>
  </si>
  <si>
    <t>Source Table</t>
  </si>
  <si>
    <t>Table Name</t>
  </si>
  <si>
    <t>Type</t>
  </si>
  <si>
    <t>Alias</t>
  </si>
  <si>
    <t>Logical Op</t>
  </si>
  <si>
    <t>Join Condition</t>
  </si>
  <si>
    <t>LPEI_EDW_AIM</t>
  </si>
  <si>
    <t>DB</t>
  </si>
  <si>
    <t>T1</t>
  </si>
  <si>
    <t>2. Aggregate by Condition (set N/A if not relevant)</t>
  </si>
  <si>
    <t>3. Filter (set N/A if not relevant)</t>
  </si>
  <si>
    <t>File/Table</t>
  </si>
  <si>
    <t>Field Name 
(Group by)</t>
  </si>
  <si>
    <t>Filter Condition</t>
  </si>
  <si>
    <t>Remarks 
(business definition of the filter
e.g. active customer, transaction already posted)</t>
  </si>
  <si>
    <t>N/A</t>
  </si>
  <si>
    <t>WHERE</t>
  </si>
  <si>
    <t>T1.BUSINESS_DATE = @BUSINESS_DATE</t>
  </si>
  <si>
    <t>MAPPING FIELD</t>
  </si>
  <si>
    <t>DESTINATION FIELD</t>
  </si>
  <si>
    <t>No.</t>
  </si>
  <si>
    <t>Field Name</t>
  </si>
  <si>
    <t>Description - EN</t>
  </si>
  <si>
    <t>Description - ID</t>
  </si>
  <si>
    <t>Data Type</t>
  </si>
  <si>
    <t>SOURCE TABLE</t>
  </si>
  <si>
    <t>SOURCE FIELD</t>
  </si>
  <si>
    <t>LOGIC</t>
  </si>
  <si>
    <t>REMARKS</t>
  </si>
  <si>
    <t>Business Date / Effective Date</t>
  </si>
  <si>
    <t>Tanggal Efektif / Tanggal Data</t>
  </si>
  <si>
    <t>@BUSINESS_DATE</t>
  </si>
  <si>
    <t>Generated by system</t>
  </si>
  <si>
    <t>Data Source</t>
  </si>
  <si>
    <t>Varchar(300)</t>
  </si>
  <si>
    <t>CIF Number</t>
  </si>
  <si>
    <t>Varchar(20)</t>
  </si>
  <si>
    <t>Account Number</t>
  </si>
  <si>
    <t>Varchar(50)</t>
  </si>
  <si>
    <t>Single CIF Number</t>
  </si>
  <si>
    <t>NUMERIC(22)</t>
  </si>
  <si>
    <t>Limit Number / Facility Number</t>
  </si>
  <si>
    <t>Initial Contract No</t>
  </si>
  <si>
    <t>Varchar(150)</t>
  </si>
  <si>
    <t>Branch Code</t>
  </si>
  <si>
    <t>Varchar(10)</t>
  </si>
  <si>
    <t>Currency Code</t>
  </si>
  <si>
    <t>Char(3)</t>
  </si>
  <si>
    <t>Credit Classification</t>
  </si>
  <si>
    <t>Char(1)</t>
  </si>
  <si>
    <t>Numeric(30,10)</t>
  </si>
  <si>
    <t>Varchar(255)</t>
  </si>
  <si>
    <t>Varchar(6)</t>
  </si>
  <si>
    <t>International Standard Industrial Classification</t>
  </si>
  <si>
    <t>Initial Contract Date</t>
  </si>
  <si>
    <t>Interest Rate</t>
  </si>
  <si>
    <t>Contract No</t>
  </si>
  <si>
    <t>Contract Date</t>
  </si>
  <si>
    <t>Limit renew counter</t>
  </si>
  <si>
    <t>Project Amount</t>
  </si>
  <si>
    <t>Numeric(20,2)</t>
  </si>
  <si>
    <t>Char(5)</t>
  </si>
  <si>
    <t>COLLECTABILITY</t>
  </si>
  <si>
    <t>Limit status</t>
  </si>
  <si>
    <t>ORI_INIT_LIMIT_AMT</t>
  </si>
  <si>
    <t>Initial limit amount in original currency</t>
  </si>
  <si>
    <t>Initial limit amount in local currency</t>
  </si>
  <si>
    <t>ORI_LIMIT_AMT</t>
  </si>
  <si>
    <t>Limit amount in original currency</t>
  </si>
  <si>
    <t>Limit amount in local currency</t>
  </si>
  <si>
    <t>ORI_BAL</t>
  </si>
  <si>
    <t>ORI_AVAIL</t>
  </si>
  <si>
    <t>ORI_UTILIZATION</t>
  </si>
  <si>
    <t>ORI_MARKET_LIMIT_AMT</t>
  </si>
  <si>
    <t>Market limit amount in original currency</t>
  </si>
  <si>
    <t>ORI_DISBURSE_AVAIL</t>
  </si>
  <si>
    <t>Realized/Disbursement availability in original currency</t>
  </si>
  <si>
    <t>Realized/Disbursement availability in local currency</t>
  </si>
  <si>
    <t>ORI_EXPOSURE</t>
  </si>
  <si>
    <t>Exposure in original currency</t>
  </si>
  <si>
    <t>Facility Type (Y/N)</t>
  </si>
  <si>
    <t>DIFN</t>
  </si>
  <si>
    <t>NULL</t>
  </si>
  <si>
    <t>Notes</t>
  </si>
  <si>
    <t>Varchar(100)</t>
  </si>
  <si>
    <t>IS_CHILD</t>
  </si>
  <si>
    <t>PARENT_LINE_CODE</t>
  </si>
  <si>
    <t>PAR_CD</t>
  </si>
  <si>
    <t>PAR_VALUE</t>
  </si>
  <si>
    <t>PAR_VALUE_2</t>
  </si>
  <si>
    <t>PAR_VALUE_3</t>
  </si>
  <si>
    <t>PAR_VAL_MAP</t>
  </si>
  <si>
    <t>PAR_VAL_MAP_2</t>
  </si>
  <si>
    <t>PAR_VAL_MAP_3</t>
  </si>
  <si>
    <t>PAR_DESC</t>
  </si>
  <si>
    <t>PAR_SEQ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</si>
</sst>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4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rgb="FF4F81BD"/>
      </top>
      <bottom style="medium">
        <color rgb="FF4F81BD"/>
      </bottom>
      <diagonal/>
    </border>
    <border>
      <left style="hair">
        <color indexed="64"/>
      </left>
      <right style="hair">
        <color indexed="64"/>
      </right>
      <top style="medium">
        <color rgb="FF4F81BD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2"/>
      </left>
      <right style="thin">
        <color auto="1"/>
      </right>
      <top style="medium">
        <color indexed="6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2"/>
      </top>
      <bottom style="thin">
        <color auto="1"/>
      </bottom>
      <diagonal/>
    </border>
    <border>
      <left style="thin">
        <color auto="1"/>
      </left>
      <right style="medium">
        <color indexed="62"/>
      </right>
      <top style="medium">
        <color indexed="62"/>
      </top>
      <bottom style="thin">
        <color theme="1"/>
      </bottom>
      <diagonal/>
    </border>
    <border>
      <left style="thin">
        <color auto="1"/>
      </left>
      <right style="medium">
        <color indexed="62"/>
      </right>
      <top/>
      <bottom style="thin">
        <color theme="1"/>
      </bottom>
      <diagonal/>
    </border>
    <border>
      <left style="medium">
        <color indexed="62"/>
      </left>
      <right style="thin">
        <color indexed="62"/>
      </right>
      <top style="thin">
        <color theme="1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theme="1"/>
      </top>
      <bottom style="thin">
        <color indexed="62"/>
      </bottom>
      <diagonal/>
    </border>
    <border>
      <left style="thin">
        <color indexed="62"/>
      </left>
      <right style="medium">
        <color indexed="62"/>
      </right>
      <top style="thin">
        <color theme="1"/>
      </top>
      <bottom style="thin">
        <color indexed="62"/>
      </bottom>
      <diagonal/>
    </border>
    <border>
      <left style="medium">
        <color indexed="62"/>
      </left>
      <right style="thin">
        <color indexed="62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2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medium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medium">
        <color indexed="62"/>
      </left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 style="medium">
        <color indexed="62"/>
      </right>
      <top style="thin">
        <color indexed="62"/>
      </top>
      <bottom style="thin">
        <color indexed="62"/>
      </bottom>
      <diagonal/>
    </border>
    <border>
      <left style="medium">
        <color indexed="62"/>
      </left>
      <right style="thin">
        <color indexed="62"/>
      </right>
      <top style="thin">
        <color indexed="62"/>
      </top>
      <bottom style="medium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medium">
        <color indexed="62"/>
      </bottom>
      <diagonal/>
    </border>
    <border>
      <left style="thin">
        <color indexed="62"/>
      </left>
      <right style="medium">
        <color indexed="62"/>
      </right>
      <top style="thin">
        <color indexed="62"/>
      </top>
      <bottom style="medium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0" borderId="0"/>
    <xf numFmtId="0" fontId="7" fillId="0" borderId="0">
      <alignment vertical="center"/>
    </xf>
    <xf numFmtId="0" fontId="5" fillId="0" borderId="0"/>
    <xf numFmtId="0" fontId="7" fillId="0" borderId="0">
      <alignment vertical="center"/>
    </xf>
    <xf numFmtId="0" fontId="1" fillId="0" borderId="0"/>
    <xf numFmtId="0" fontId="11" fillId="0" borderId="0"/>
  </cellStyleXfs>
  <cellXfs count="131">
    <xf numFmtId="0" fontId="0" fillId="0" borderId="0" xfId="0"/>
    <xf numFmtId="0" fontId="1" fillId="0" borderId="0" xfId="1" applyFont="1" applyAlignment="1">
      <alignment vertical="center" wrapText="1"/>
    </xf>
    <xf numFmtId="0" fontId="1" fillId="0" borderId="0" xfId="1" applyFont="1" applyAlignment="1">
      <alignment vertical="center"/>
    </xf>
    <xf numFmtId="0" fontId="1" fillId="0" borderId="0" xfId="1" applyFont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1" fillId="3" borderId="0" xfId="1" applyFont="1" applyFill="1" applyAlignment="1">
      <alignment vertical="center"/>
    </xf>
    <xf numFmtId="0" fontId="8" fillId="0" borderId="0" xfId="2" applyFont="1">
      <alignment vertical="center"/>
    </xf>
    <xf numFmtId="0" fontId="8" fillId="4" borderId="1" xfId="2" applyFont="1" applyFill="1" applyBorder="1" applyAlignment="1">
      <alignment horizontal="center" vertical="center" wrapText="1"/>
    </xf>
    <xf numFmtId="0" fontId="8" fillId="5" borderId="1" xfId="4" applyFont="1" applyFill="1" applyBorder="1" applyAlignment="1">
      <alignment horizontal="center" vertical="center" wrapText="1"/>
    </xf>
    <xf numFmtId="0" fontId="1" fillId="0" borderId="4" xfId="3" applyFont="1" applyBorder="1" applyAlignment="1">
      <alignment horizontal="left" vertical="center"/>
    </xf>
    <xf numFmtId="0" fontId="3" fillId="3" borderId="0" xfId="1" applyFont="1" applyFill="1" applyAlignment="1">
      <alignment horizontal="left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11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2" fillId="6" borderId="10" xfId="1" applyFont="1" applyFill="1" applyBorder="1" applyAlignment="1">
      <alignment horizontal="center" vertical="center"/>
    </xf>
    <xf numFmtId="0" fontId="2" fillId="6" borderId="1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1" fillId="0" borderId="13" xfId="1" applyFont="1" applyBorder="1" applyAlignment="1">
      <alignment horizontal="center" vertical="center"/>
    </xf>
    <xf numFmtId="0" fontId="0" fillId="0" borderId="0" xfId="0" quotePrefix="1"/>
    <xf numFmtId="0" fontId="10" fillId="0" borderId="0" xfId="0" applyFont="1"/>
    <xf numFmtId="0" fontId="13" fillId="0" borderId="17" xfId="6" quotePrefix="1" applyFont="1" applyBorder="1" applyAlignment="1">
      <alignment vertical="center" wrapText="1"/>
    </xf>
    <xf numFmtId="0" fontId="13" fillId="0" borderId="18" xfId="6" quotePrefix="1" applyFont="1" applyBorder="1" applyAlignment="1">
      <alignment vertical="center" wrapText="1"/>
    </xf>
    <xf numFmtId="0" fontId="13" fillId="8" borderId="21" xfId="6" applyFont="1" applyFill="1" applyBorder="1" applyAlignment="1">
      <alignment vertical="center" wrapText="1"/>
    </xf>
    <xf numFmtId="0" fontId="10" fillId="0" borderId="0" xfId="6" applyFont="1" applyAlignment="1">
      <alignment vertical="center"/>
    </xf>
    <xf numFmtId="0" fontId="2" fillId="6" borderId="23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3" fillId="0" borderId="0" xfId="0" applyNumberFormat="1" applyFont="1"/>
    <xf numFmtId="49" fontId="0" fillId="0" borderId="0" xfId="0" applyNumberFormat="1"/>
    <xf numFmtId="0" fontId="1" fillId="0" borderId="0" xfId="0" applyFont="1" applyAlignment="1">
      <alignment vertical="top" wrapText="1"/>
    </xf>
    <xf numFmtId="0" fontId="6" fillId="0" borderId="0" xfId="3" applyFont="1"/>
    <xf numFmtId="0" fontId="0" fillId="0" borderId="0" xfId="0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" fillId="0" borderId="2" xfId="3" applyFont="1" applyBorder="1" applyAlignment="1">
      <alignment horizontal="center" vertical="top"/>
    </xf>
    <xf numFmtId="0" fontId="1" fillId="0" borderId="0" xfId="3" applyFont="1"/>
    <xf numFmtId="0" fontId="6" fillId="0" borderId="3" xfId="3" applyFont="1" applyBorder="1" applyAlignment="1">
      <alignment horizontal="center" vertical="center"/>
    </xf>
    <xf numFmtId="0" fontId="6" fillId="0" borderId="3" xfId="3" applyFont="1" applyBorder="1" applyAlignment="1">
      <alignment horizontal="left" vertical="top"/>
    </xf>
    <xf numFmtId="0" fontId="1" fillId="0" borderId="3" xfId="3" applyFont="1" applyBorder="1" applyAlignment="1">
      <alignment horizontal="left" vertical="top" wrapText="1"/>
    </xf>
    <xf numFmtId="0" fontId="1" fillId="0" borderId="0" xfId="0" applyFont="1"/>
    <xf numFmtId="0" fontId="6" fillId="0" borderId="5" xfId="3" applyFont="1" applyBorder="1" applyAlignment="1">
      <alignment horizontal="center" vertical="top"/>
    </xf>
    <xf numFmtId="0" fontId="1" fillId="0" borderId="6" xfId="3" applyFont="1" applyBorder="1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13" xfId="0" applyBorder="1" applyAlignment="1">
      <alignment horizontal="left" vertical="top"/>
    </xf>
    <xf numFmtId="0" fontId="9" fillId="0" borderId="14" xfId="1" quotePrefix="1" applyFont="1" applyBorder="1" applyAlignment="1">
      <alignment horizontal="left" vertical="top"/>
    </xf>
    <xf numFmtId="0" fontId="0" fillId="0" borderId="24" xfId="1" applyFont="1" applyBorder="1" applyAlignment="1">
      <alignment horizontal="left" vertical="top" wrapText="1"/>
    </xf>
    <xf numFmtId="0" fontId="0" fillId="0" borderId="25" xfId="0" applyBorder="1"/>
    <xf numFmtId="0" fontId="0" fillId="0" borderId="25" xfId="0" applyBorder="1" applyAlignment="1">
      <alignment wrapText="1"/>
    </xf>
    <xf numFmtId="49" fontId="3" fillId="0" borderId="26" xfId="0" applyNumberFormat="1" applyFont="1" applyBorder="1"/>
    <xf numFmtId="49" fontId="3" fillId="0" borderId="27" xfId="0" applyNumberFormat="1" applyFont="1" applyBorder="1"/>
    <xf numFmtId="49" fontId="3" fillId="0" borderId="27" xfId="0" applyNumberFormat="1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0" xfId="0" applyFont="1" applyAlignment="1">
      <alignment horizontal="center"/>
    </xf>
    <xf numFmtId="15" fontId="0" fillId="0" borderId="25" xfId="0" applyNumberFormat="1" applyBorder="1" applyAlignment="1">
      <alignment vertical="center"/>
    </xf>
    <xf numFmtId="0" fontId="0" fillId="0" borderId="25" xfId="0" applyBorder="1" applyAlignment="1">
      <alignment vertical="center"/>
    </xf>
    <xf numFmtId="0" fontId="0" fillId="10" borderId="0" xfId="0" applyFill="1"/>
    <xf numFmtId="0" fontId="0" fillId="0" borderId="29" xfId="0" applyBorder="1"/>
    <xf numFmtId="15" fontId="0" fillId="0" borderId="29" xfId="0" applyNumberFormat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29" xfId="0" applyBorder="1" applyAlignment="1">
      <alignment wrapText="1"/>
    </xf>
    <xf numFmtId="0" fontId="0" fillId="0" borderId="25" xfId="0" applyBorder="1" applyAlignment="1">
      <alignment horizontal="left" vertical="center"/>
    </xf>
    <xf numFmtId="0" fontId="0" fillId="0" borderId="25" xfId="0" applyBorder="1" applyAlignment="1">
      <alignment vertical="top" wrapText="1"/>
    </xf>
    <xf numFmtId="0" fontId="0" fillId="10" borderId="25" xfId="0" applyFill="1" applyBorder="1" applyAlignment="1">
      <alignment horizontal="center" vertical="center"/>
    </xf>
    <xf numFmtId="0" fontId="0" fillId="10" borderId="25" xfId="0" applyFill="1" applyBorder="1" applyAlignment="1">
      <alignment vertical="center"/>
    </xf>
    <xf numFmtId="0" fontId="0" fillId="10" borderId="0" xfId="0" applyFill="1" applyAlignment="1">
      <alignment vertical="center"/>
    </xf>
    <xf numFmtId="0" fontId="0" fillId="10" borderId="30" xfId="0" applyFill="1" applyBorder="1" applyAlignment="1">
      <alignment vertical="center"/>
    </xf>
    <xf numFmtId="0" fontId="0" fillId="10" borderId="31" xfId="0" applyFill="1" applyBorder="1" applyAlignment="1">
      <alignment vertical="center"/>
    </xf>
    <xf numFmtId="0" fontId="0" fillId="10" borderId="33" xfId="0" applyFill="1" applyBorder="1"/>
    <xf numFmtId="0" fontId="0" fillId="10" borderId="34" xfId="0" applyFill="1" applyBorder="1" applyAlignment="1">
      <alignment vertical="center"/>
    </xf>
    <xf numFmtId="0" fontId="16" fillId="10" borderId="35" xfId="0" applyFont="1" applyFill="1" applyBorder="1" applyAlignment="1">
      <alignment vertical="center" wrapText="1"/>
    </xf>
    <xf numFmtId="0" fontId="16" fillId="10" borderId="32" xfId="0" applyFont="1" applyFill="1" applyBorder="1" applyAlignment="1">
      <alignment vertical="center" wrapText="1"/>
    </xf>
    <xf numFmtId="0" fontId="0" fillId="10" borderId="36" xfId="0" applyFill="1" applyBorder="1" applyAlignment="1">
      <alignment vertical="center"/>
    </xf>
    <xf numFmtId="15" fontId="0" fillId="5" borderId="25" xfId="0" applyNumberFormat="1" applyFill="1" applyBorder="1" applyAlignment="1">
      <alignment horizontal="center" vertical="center"/>
    </xf>
    <xf numFmtId="0" fontId="12" fillId="0" borderId="15" xfId="6" applyFont="1" applyBorder="1" applyAlignment="1">
      <alignment vertical="center" wrapText="1"/>
    </xf>
    <xf numFmtId="0" fontId="12" fillId="0" borderId="16" xfId="6" applyFont="1" applyBorder="1" applyAlignment="1">
      <alignment vertical="center" wrapText="1"/>
    </xf>
    <xf numFmtId="0" fontId="12" fillId="8" borderId="19" xfId="6" applyFont="1" applyFill="1" applyBorder="1" applyAlignment="1">
      <alignment vertical="center" wrapText="1"/>
    </xf>
    <xf numFmtId="0" fontId="12" fillId="8" borderId="20" xfId="6" applyFont="1" applyFill="1" applyBorder="1" applyAlignment="1">
      <alignment vertical="center" wrapText="1"/>
    </xf>
    <xf numFmtId="0" fontId="12" fillId="8" borderId="22" xfId="6" applyFont="1" applyFill="1" applyBorder="1" applyAlignment="1">
      <alignment horizontal="left" vertical="center" wrapText="1"/>
    </xf>
    <xf numFmtId="0" fontId="3" fillId="2" borderId="0" xfId="1" applyFont="1" applyFill="1" applyAlignment="1">
      <alignment horizontal="left" vertical="center"/>
    </xf>
    <xf numFmtId="0" fontId="2" fillId="6" borderId="7" xfId="1" applyFont="1" applyFill="1" applyBorder="1" applyAlignment="1">
      <alignment horizontal="center" vertical="center" wrapText="1"/>
    </xf>
    <xf numFmtId="0" fontId="2" fillId="6" borderId="8" xfId="1" applyFont="1" applyFill="1" applyBorder="1" applyAlignment="1">
      <alignment horizontal="center" vertical="center" wrapText="1"/>
    </xf>
    <xf numFmtId="0" fontId="2" fillId="6" borderId="9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3" fillId="7" borderId="37" xfId="0" applyFont="1" applyFill="1" applyBorder="1"/>
    <xf numFmtId="0" fontId="0" fillId="0" borderId="39" xfId="0" quotePrefix="1" applyBorder="1" applyAlignment="1">
      <alignment vertical="top"/>
    </xf>
    <xf numFmtId="15" fontId="0" fillId="0" borderId="39" xfId="0" applyNumberFormat="1" applyBorder="1" applyAlignment="1">
      <alignment vertical="top"/>
    </xf>
    <xf numFmtId="0" fontId="0" fillId="0" borderId="39" xfId="0" applyBorder="1" applyAlignment="1">
      <alignment vertical="top"/>
    </xf>
    <xf numFmtId="0" fontId="0" fillId="0" borderId="39" xfId="0" applyBorder="1" applyAlignment="1">
      <alignment vertical="top" wrapText="1"/>
    </xf>
    <xf numFmtId="0" fontId="16" fillId="0" borderId="37" xfId="0" applyFont="1" applyBorder="1" applyAlignment="1">
      <alignment wrapText="1"/>
    </xf>
    <xf numFmtId="0" fontId="16" fillId="0" borderId="38" xfId="0" applyFont="1" applyBorder="1"/>
    <xf numFmtId="0" fontId="12" fillId="0" borderId="40" xfId="6" applyFont="1" applyBorder="1" applyAlignment="1">
      <alignment vertical="center" wrapText="1"/>
    </xf>
    <xf numFmtId="0" fontId="12" fillId="0" borderId="41" xfId="6" applyFont="1" applyBorder="1" applyAlignment="1">
      <alignment vertical="center" wrapText="1"/>
    </xf>
    <xf numFmtId="0" fontId="12" fillId="0" borderId="42" xfId="6" applyFont="1" applyBorder="1" applyAlignment="1">
      <alignment vertical="center" wrapText="1"/>
    </xf>
    <xf numFmtId="0" fontId="12" fillId="0" borderId="43" xfId="6" applyFont="1" applyBorder="1" applyAlignment="1">
      <alignment vertical="center" wrapText="1"/>
    </xf>
    <xf numFmtId="0" fontId="12" fillId="8" borderId="44" xfId="6" applyFont="1" applyFill="1" applyBorder="1" applyAlignment="1">
      <alignment horizontal="left" vertical="center" wrapText="1"/>
    </xf>
    <xf numFmtId="0" fontId="12" fillId="8" borderId="43" xfId="6" applyFont="1" applyFill="1" applyBorder="1" applyAlignment="1">
      <alignment vertical="center" wrapText="1"/>
    </xf>
    <xf numFmtId="0" fontId="13" fillId="8" borderId="45" xfId="6" applyFont="1" applyFill="1" applyBorder="1" applyAlignment="1">
      <alignment vertical="center" wrapText="1"/>
    </xf>
    <xf numFmtId="0" fontId="12" fillId="0" borderId="43" xfId="6" applyFont="1" applyBorder="1" applyAlignment="1">
      <alignment vertical="center" wrapText="1"/>
    </xf>
    <xf numFmtId="0" fontId="13" fillId="0" borderId="45" xfId="6" applyFont="1" applyBorder="1" applyAlignment="1">
      <alignment vertical="center" wrapText="1"/>
    </xf>
    <xf numFmtId="0" fontId="12" fillId="8" borderId="46" xfId="6" applyFont="1" applyFill="1" applyBorder="1" applyAlignment="1">
      <alignment vertical="center" wrapText="1"/>
    </xf>
    <xf numFmtId="0" fontId="12" fillId="8" borderId="47" xfId="6" applyFont="1" applyFill="1" applyBorder="1" applyAlignment="1">
      <alignment vertical="center" wrapText="1"/>
    </xf>
    <xf numFmtId="0" fontId="13" fillId="8" borderId="48" xfId="6" applyFont="1" applyFill="1" applyBorder="1" applyAlignment="1">
      <alignment vertical="center" wrapText="1"/>
    </xf>
    <xf numFmtId="0" fontId="3" fillId="9" borderId="49" xfId="0" applyFont="1" applyFill="1" applyBorder="1"/>
    <xf numFmtId="0" fontId="0" fillId="0" borderId="50" xfId="0" applyBorder="1"/>
    <xf numFmtId="0" fontId="0" fillId="0" borderId="49" xfId="0" applyBorder="1"/>
    <xf numFmtId="0" fontId="14" fillId="0" borderId="49" xfId="0" applyFont="1" applyBorder="1" applyAlignment="1">
      <alignment vertical="top"/>
    </xf>
    <xf numFmtId="0" fontId="0" fillId="0" borderId="49" xfId="0" applyBorder="1" applyAlignment="1">
      <alignment horizontal="center" vertical="top"/>
    </xf>
    <xf numFmtId="0" fontId="0" fillId="0" borderId="51" xfId="0" applyBorder="1" applyAlignment="1">
      <alignment horizontal="center" vertical="top"/>
    </xf>
    <xf numFmtId="0" fontId="14" fillId="0" borderId="49" xfId="0" applyFont="1" applyBorder="1"/>
    <xf numFmtId="2" fontId="0" fillId="0" borderId="49" xfId="0" applyNumberFormat="1" applyBorder="1" applyAlignment="1">
      <alignment horizontal="center" vertical="top"/>
    </xf>
    <xf numFmtId="0" fontId="0" fillId="0" borderId="49" xfId="0" applyBorder="1" applyAlignment="1">
      <alignment horizontal="center"/>
    </xf>
    <xf numFmtId="0" fontId="0" fillId="0" borderId="52" xfId="0" applyBorder="1"/>
    <xf numFmtId="0" fontId="0" fillId="0" borderId="53" xfId="0" applyBorder="1"/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 vertical="top"/>
    </xf>
    <xf numFmtId="0" fontId="3" fillId="0" borderId="49" xfId="1" applyFont="1" applyBorder="1" applyAlignment="1">
      <alignment horizontal="center" vertical="center"/>
    </xf>
    <xf numFmtId="0" fontId="3" fillId="0" borderId="49" xfId="1" applyFont="1" applyBorder="1" applyAlignment="1">
      <alignment horizontal="center" vertical="center" wrapText="1"/>
    </xf>
    <xf numFmtId="0" fontId="1" fillId="0" borderId="49" xfId="1" applyFont="1" applyBorder="1" applyAlignment="1">
      <alignment horizontal="center" vertical="center"/>
    </xf>
    <xf numFmtId="0" fontId="0" fillId="0" borderId="49" xfId="1" applyFont="1" applyBorder="1" applyAlignment="1">
      <alignment horizontal="center" vertical="center"/>
    </xf>
    <xf numFmtId="0" fontId="1" fillId="0" borderId="49" xfId="1" applyFont="1" applyBorder="1" applyAlignment="1">
      <alignment horizontal="center" vertical="center" wrapText="1"/>
    </xf>
    <xf numFmtId="0" fontId="0" fillId="0" borderId="49" xfId="1" applyFont="1" applyBorder="1" applyAlignment="1">
      <alignment horizontal="left" vertical="center"/>
    </xf>
    <xf numFmtId="0" fontId="1" fillId="0" borderId="49" xfId="1" applyFont="1" applyBorder="1" applyAlignment="1">
      <alignment vertical="center"/>
    </xf>
    <xf numFmtId="0" fontId="0" fillId="0" borderId="49" xfId="1" applyFont="1" applyBorder="1" applyAlignment="1">
      <alignment vertical="center" wrapText="1"/>
    </xf>
    <xf numFmtId="0" fontId="1" fillId="0" borderId="49" xfId="1" quotePrefix="1" applyFont="1" applyBorder="1" applyAlignment="1">
      <alignment horizontal="left" vertical="top"/>
    </xf>
    <xf numFmtId="0" fontId="1" fillId="0" borderId="55" xfId="1" applyFont="1" applyBorder="1" applyAlignment="1">
      <alignment horizontal="center" vertical="center"/>
    </xf>
    <xf numFmtId="0" fontId="1" fillId="0" borderId="55" xfId="5" applyBorder="1" applyAlignment="1">
      <alignment horizontal="left" vertical="center" wrapText="1"/>
    </xf>
    <xf numFmtId="0" fontId="1" fillId="0" borderId="49" xfId="1" quotePrefix="1" applyFont="1" applyBorder="1" applyAlignment="1">
      <alignment horizontal="left" vertical="center"/>
    </xf>
    <xf numFmtId="0" fontId="9" fillId="0" borderId="49" xfId="1" quotePrefix="1" applyFont="1" applyBorder="1" applyAlignment="1">
      <alignment horizontal="left" vertical="center"/>
    </xf>
    <xf numFmtId="0" fontId="0" fillId="0" borderId="49" xfId="1" applyFont="1" applyBorder="1" applyAlignment="1">
      <alignment horizontal="left" vertical="center" wrapText="1"/>
    </xf>
    <xf numFmtId="0" fontId="1" fillId="0" borderId="49" xfId="1" quotePrefix="1" applyFont="1" applyBorder="1" applyAlignment="1">
      <alignment horizontal="left" vertical="center" wrapText="1"/>
    </xf>
    <xf numFmtId="0" fontId="14" fillId="0" borderId="49" xfId="0" applyFont="1" applyBorder="1" applyAlignment="1">
      <alignment vertical="top" wrapText="1"/>
    </xf>
  </cellXfs>
  <cellStyles count="7">
    <cellStyle name="Normal" xfId="0" builtinId="0"/>
    <cellStyle name="Normal 105" xfId="3" xr:uid="{11E6E2FB-405F-4ECF-9A39-B07A90D61CE6}"/>
    <cellStyle name="Normal 14" xfId="5" xr:uid="{D3EFE985-4373-4CE5-A82F-80C0B748A1FC}"/>
    <cellStyle name="Normal 2" xfId="6" xr:uid="{6B00FE84-5A80-434F-B598-ECFBD697B8DA}"/>
    <cellStyle name="Normal 4" xfId="1" xr:uid="{009221E4-017F-4B14-8AAC-8B6BC39F683D}"/>
    <cellStyle name="Normal 82" xfId="2" xr:uid="{6CD2B13E-D6F4-41FC-A925-F7B6F1292574}"/>
    <cellStyle name="Normal 83" xfId="4" xr:uid="{922758EC-F37A-48FF-9CBF-A08E5F836AED}"/>
  </cellStyles>
  <dxfs count="9"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30" formatCode="@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35DD94-62E3-4EFF-A1DD-38D7D53A21EC}" name="Table1" displayName="Table1" ref="A1:E114" totalsRowShown="0" headerRowDxfId="8" headerRowBorderDxfId="6" tableBorderDxfId="7" totalsRowBorderDxfId="5">
  <autoFilter ref="A1:E114" xr:uid="{2535DD94-62E3-4EFF-A1DD-38D7D53A21EC}"/>
  <tableColumns count="5">
    <tableColumn id="1" xr3:uid="{70B68A6E-E9A2-497E-86F7-1C0226F1EC0C}" name="TABLE_NAME" dataDxfId="4"/>
    <tableColumn id="2" xr3:uid="{BF2B2E13-DAE6-499B-AC6A-65BF07153302}" name="COLUMN_NAME" dataDxfId="3"/>
    <tableColumn id="3" xr3:uid="{A3984C4C-34B3-4394-A2A9-A8BDCFB7257F}" name="DATA_TYPE" dataDxfId="2"/>
    <tableColumn id="4" xr3:uid="{C003F86F-4988-402E-B33D-ED1A9D6000B4}" name="Length" dataDxfId="1"/>
    <tableColumn id="5" xr3:uid="{83DA9E90-F28C-4041-9AC8-D67D04F38FFE}" name="GRD_COL_NM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4DAF-C63C-4208-95C7-67316FCFB0D8}">
  <sheetPr>
    <tabColor rgb="FF92D050"/>
  </sheetPr>
  <dimension ref="A2:G10"/>
  <sheetViews>
    <sheetView showGridLines="0" tabSelected="1" topLeftCell="C9" zoomScale="70" zoomScaleNormal="70" workbookViewId="0">
      <selection activeCell="F11" sqref="F11"/>
    </sheetView>
  </sheetViews>
  <sheetFormatPr defaultRowHeight="14.45"/>
  <cols>
    <col min="3" max="3" width="12.140625" bestFit="1" customWidth="1"/>
    <col min="4" max="4" width="12.85546875" bestFit="1" customWidth="1"/>
    <col min="5" max="5" width="18.5703125" customWidth="1"/>
    <col min="6" max="6" width="100.5703125" customWidth="1"/>
    <col min="7" max="7" width="55" customWidth="1"/>
  </cols>
  <sheetData>
    <row r="2" spans="1:7" ht="18.600000000000001">
      <c r="A2" s="18"/>
      <c r="B2" s="19" t="s">
        <v>0</v>
      </c>
    </row>
    <row r="4" spans="1:7">
      <c r="B4" s="83" t="s">
        <v>1</v>
      </c>
      <c r="C4" s="83" t="s">
        <v>2</v>
      </c>
      <c r="D4" s="83" t="s">
        <v>3</v>
      </c>
      <c r="E4" s="83" t="s">
        <v>4</v>
      </c>
      <c r="F4" s="83" t="s">
        <v>5</v>
      </c>
      <c r="G4" s="83" t="s">
        <v>6</v>
      </c>
    </row>
    <row r="5" spans="1:7">
      <c r="B5" s="84" t="s">
        <v>7</v>
      </c>
      <c r="C5" s="85">
        <v>45940</v>
      </c>
      <c r="D5" s="86" t="s">
        <v>8</v>
      </c>
      <c r="E5" s="87" t="s">
        <v>9</v>
      </c>
      <c r="F5" s="87" t="s">
        <v>10</v>
      </c>
      <c r="G5" s="86"/>
    </row>
    <row r="6" spans="1:7" ht="137.25">
      <c r="B6" s="54" t="s">
        <v>7</v>
      </c>
      <c r="C6" s="55">
        <v>45959</v>
      </c>
      <c r="D6" s="56" t="s">
        <v>8</v>
      </c>
      <c r="E6" s="56" t="s">
        <v>9</v>
      </c>
      <c r="F6" s="57" t="s">
        <v>11</v>
      </c>
      <c r="G6" s="57" t="s">
        <v>12</v>
      </c>
    </row>
    <row r="7" spans="1:7">
      <c r="B7" s="44"/>
      <c r="C7" s="70" t="s">
        <v>13</v>
      </c>
      <c r="D7" s="70"/>
      <c r="E7" s="70"/>
      <c r="F7" s="70"/>
      <c r="G7" s="70"/>
    </row>
    <row r="8" spans="1:7" ht="60.75">
      <c r="B8" s="44" t="s">
        <v>14</v>
      </c>
      <c r="C8" s="51">
        <v>45978</v>
      </c>
      <c r="D8" s="52" t="s">
        <v>8</v>
      </c>
      <c r="E8" s="52" t="s">
        <v>9</v>
      </c>
      <c r="F8" s="45" t="s">
        <v>15</v>
      </c>
      <c r="G8" s="59" t="s">
        <v>16</v>
      </c>
    </row>
    <row r="9" spans="1:7" ht="137.25">
      <c r="B9" s="58" t="s">
        <v>14</v>
      </c>
      <c r="C9" s="51">
        <v>45978</v>
      </c>
      <c r="D9" s="52" t="s">
        <v>8</v>
      </c>
      <c r="E9" s="52" t="s">
        <v>9</v>
      </c>
      <c r="F9" s="45" t="s">
        <v>17</v>
      </c>
      <c r="G9" s="59" t="s">
        <v>18</v>
      </c>
    </row>
    <row r="10" spans="1:7" ht="45.75">
      <c r="B10" s="58" t="s">
        <v>14</v>
      </c>
      <c r="C10" s="51">
        <v>45985</v>
      </c>
      <c r="D10" s="52" t="s">
        <v>8</v>
      </c>
      <c r="E10" s="52" t="s">
        <v>9</v>
      </c>
      <c r="F10" s="88" t="s">
        <v>19</v>
      </c>
      <c r="G10" s="89" t="s">
        <v>20</v>
      </c>
    </row>
  </sheetData>
  <mergeCells count="1">
    <mergeCell ref="C7:G7"/>
  </mergeCells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DE795-E1FB-4A55-865F-DD080E545B5D}">
  <sheetPr>
    <tabColor rgb="FF92D050"/>
  </sheetPr>
  <dimension ref="B2:D13"/>
  <sheetViews>
    <sheetView zoomScale="80" zoomScaleNormal="80" workbookViewId="0">
      <selection activeCell="D7" sqref="D7"/>
    </sheetView>
  </sheetViews>
  <sheetFormatPr defaultRowHeight="14.45"/>
  <cols>
    <col min="2" max="3" width="15.5703125" customWidth="1"/>
    <col min="4" max="4" width="100.5703125" customWidth="1"/>
  </cols>
  <sheetData>
    <row r="2" spans="2:4" ht="15" thickBot="1"/>
    <row r="3" spans="2:4" ht="18.600000000000001">
      <c r="B3" s="71" t="s">
        <v>21</v>
      </c>
      <c r="C3" s="72"/>
      <c r="D3" s="20" t="s">
        <v>22</v>
      </c>
    </row>
    <row r="4" spans="2:4" ht="18.600000000000001">
      <c r="B4" s="90" t="s">
        <v>23</v>
      </c>
      <c r="C4" s="91"/>
      <c r="D4" s="21" t="s">
        <v>22</v>
      </c>
    </row>
    <row r="5" spans="2:4" ht="18.600000000000001">
      <c r="B5" s="73" t="s">
        <v>24</v>
      </c>
      <c r="C5" s="74"/>
      <c r="D5" s="22" t="s">
        <v>25</v>
      </c>
    </row>
    <row r="6" spans="2:4" ht="18.600000000000001">
      <c r="B6" s="92" t="s">
        <v>26</v>
      </c>
      <c r="C6" s="93"/>
      <c r="D6" s="21" t="s">
        <v>22</v>
      </c>
    </row>
    <row r="7" spans="2:4" ht="18.600000000000001">
      <c r="B7" s="94" t="s">
        <v>27</v>
      </c>
      <c r="C7" s="95" t="s">
        <v>28</v>
      </c>
      <c r="D7" s="96" t="s">
        <v>29</v>
      </c>
    </row>
    <row r="8" spans="2:4" ht="18.600000000000001">
      <c r="B8" s="75"/>
      <c r="C8" s="97" t="s">
        <v>30</v>
      </c>
      <c r="D8" s="21" t="s">
        <v>22</v>
      </c>
    </row>
    <row r="9" spans="2:4" ht="18.600000000000001">
      <c r="B9" s="92" t="s">
        <v>31</v>
      </c>
      <c r="C9" s="93"/>
      <c r="D9" s="98"/>
    </row>
    <row r="10" spans="2:4" ht="18.95" thickBot="1">
      <c r="B10" s="99" t="s">
        <v>32</v>
      </c>
      <c r="C10" s="100"/>
      <c r="D10" s="101"/>
    </row>
    <row r="11" spans="2:4" ht="14.45" customHeight="1"/>
    <row r="12" spans="2:4" ht="14.45" customHeight="1"/>
    <row r="13" spans="2:4" ht="18.600000000000001">
      <c r="B13" s="23"/>
    </row>
  </sheetData>
  <mergeCells count="7">
    <mergeCell ref="B9:C9"/>
    <mergeCell ref="B10:C10"/>
    <mergeCell ref="B3:C3"/>
    <mergeCell ref="B4:C4"/>
    <mergeCell ref="B5:C5"/>
    <mergeCell ref="B6:C6"/>
    <mergeCell ref="B7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5138C-89BF-4BEA-9631-84AF4FC6015A}">
  <sheetPr>
    <tabColor rgb="FF92D050"/>
  </sheetPr>
  <dimension ref="A1:B4"/>
  <sheetViews>
    <sheetView zoomScale="80" zoomScaleNormal="80" workbookViewId="0">
      <selection activeCell="A4" sqref="A4"/>
    </sheetView>
  </sheetViews>
  <sheetFormatPr defaultRowHeight="14.45"/>
  <cols>
    <col min="1" max="1" width="28.85546875" bestFit="1" customWidth="1"/>
    <col min="2" max="2" width="92.42578125" bestFit="1" customWidth="1"/>
  </cols>
  <sheetData>
    <row r="1" spans="1:2">
      <c r="A1" s="102" t="s">
        <v>33</v>
      </c>
      <c r="B1" s="102" t="s">
        <v>34</v>
      </c>
    </row>
    <row r="2" spans="1:2">
      <c r="A2" t="s">
        <v>35</v>
      </c>
      <c r="B2" t="s">
        <v>36</v>
      </c>
    </row>
    <row r="3" spans="1:2">
      <c r="A3" t="s">
        <v>9</v>
      </c>
      <c r="B3" t="s">
        <v>37</v>
      </c>
    </row>
    <row r="4" spans="1:2">
      <c r="A4" t="s">
        <v>38</v>
      </c>
      <c r="B4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3EFF-537D-4BD9-A6B4-03C0A03FBD66}">
  <dimension ref="A1:E114"/>
  <sheetViews>
    <sheetView topLeftCell="A87" zoomScale="70" zoomScaleNormal="70" workbookViewId="0">
      <selection activeCell="B108" sqref="B108"/>
    </sheetView>
  </sheetViews>
  <sheetFormatPr defaultColWidth="12.28515625" defaultRowHeight="14.45"/>
  <cols>
    <col min="1" max="1" width="19" customWidth="1"/>
    <col min="2" max="2" width="25.140625" bestFit="1" customWidth="1"/>
    <col min="3" max="3" width="18.42578125" customWidth="1"/>
    <col min="4" max="4" width="12.28515625" style="25"/>
    <col min="5" max="5" width="18.5703125" style="25" customWidth="1"/>
  </cols>
  <sheetData>
    <row r="1" spans="1:5" s="50" customFormat="1">
      <c r="A1" s="46" t="s">
        <v>40</v>
      </c>
      <c r="B1" s="47" t="s">
        <v>41</v>
      </c>
      <c r="C1" s="47" t="s">
        <v>42</v>
      </c>
      <c r="D1" s="48" t="s">
        <v>43</v>
      </c>
      <c r="E1" s="49" t="s">
        <v>44</v>
      </c>
    </row>
    <row r="2" spans="1:5">
      <c r="A2" s="103" t="s">
        <v>45</v>
      </c>
      <c r="B2" s="104" t="s">
        <v>46</v>
      </c>
      <c r="C2" s="105" t="s">
        <v>47</v>
      </c>
      <c r="D2" s="106"/>
      <c r="E2" s="107">
        <v>1</v>
      </c>
    </row>
    <row r="3" spans="1:5">
      <c r="A3" s="103" t="s">
        <v>45</v>
      </c>
      <c r="B3" s="104" t="s">
        <v>48</v>
      </c>
      <c r="C3" s="105" t="s">
        <v>49</v>
      </c>
      <c r="D3" s="106">
        <v>300</v>
      </c>
      <c r="E3" s="107">
        <v>1</v>
      </c>
    </row>
    <row r="4" spans="1:5">
      <c r="A4" s="103" t="s">
        <v>45</v>
      </c>
      <c r="B4" s="104" t="s">
        <v>50</v>
      </c>
      <c r="C4" s="108" t="s">
        <v>49</v>
      </c>
      <c r="D4" s="106">
        <v>20</v>
      </c>
      <c r="E4" s="107">
        <v>1</v>
      </c>
    </row>
    <row r="5" spans="1:5">
      <c r="A5" s="103" t="s">
        <v>45</v>
      </c>
      <c r="B5" s="104" t="s">
        <v>51</v>
      </c>
      <c r="C5" s="108" t="s">
        <v>49</v>
      </c>
      <c r="D5" s="106">
        <v>50</v>
      </c>
      <c r="E5" s="107">
        <v>1</v>
      </c>
    </row>
    <row r="6" spans="1:5">
      <c r="A6" s="103" t="s">
        <v>45</v>
      </c>
      <c r="B6" s="104" t="s">
        <v>52</v>
      </c>
      <c r="C6" s="108" t="s">
        <v>49</v>
      </c>
      <c r="D6" s="106">
        <v>20</v>
      </c>
      <c r="E6" s="107">
        <v>1</v>
      </c>
    </row>
    <row r="7" spans="1:5">
      <c r="A7" s="103" t="s">
        <v>45</v>
      </c>
      <c r="B7" s="104" t="s">
        <v>53</v>
      </c>
      <c r="C7" s="108" t="s">
        <v>49</v>
      </c>
      <c r="D7" s="106">
        <v>20</v>
      </c>
      <c r="E7" s="107">
        <v>1</v>
      </c>
    </row>
    <row r="8" spans="1:5">
      <c r="A8" s="103" t="s">
        <v>45</v>
      </c>
      <c r="B8" s="104" t="s">
        <v>54</v>
      </c>
      <c r="C8" s="108" t="s">
        <v>55</v>
      </c>
      <c r="D8" s="106">
        <v>22</v>
      </c>
      <c r="E8" s="107">
        <v>1</v>
      </c>
    </row>
    <row r="9" spans="1:5">
      <c r="A9" s="103" t="s">
        <v>45</v>
      </c>
      <c r="B9" s="104" t="s">
        <v>56</v>
      </c>
      <c r="C9" s="108" t="s">
        <v>49</v>
      </c>
      <c r="D9" s="106">
        <v>50</v>
      </c>
      <c r="E9" s="107">
        <v>1</v>
      </c>
    </row>
    <row r="10" spans="1:5">
      <c r="A10" s="103" t="s">
        <v>45</v>
      </c>
      <c r="B10" s="104" t="s">
        <v>57</v>
      </c>
      <c r="C10" s="108" t="s">
        <v>49</v>
      </c>
      <c r="D10" s="106">
        <v>150</v>
      </c>
      <c r="E10" s="107">
        <v>1</v>
      </c>
    </row>
    <row r="11" spans="1:5">
      <c r="A11" s="103" t="s">
        <v>45</v>
      </c>
      <c r="B11" s="104" t="s">
        <v>58</v>
      </c>
      <c r="C11" s="108" t="s">
        <v>49</v>
      </c>
      <c r="D11" s="106">
        <v>10</v>
      </c>
      <c r="E11" s="107">
        <v>1</v>
      </c>
    </row>
    <row r="12" spans="1:5">
      <c r="A12" s="103" t="s">
        <v>45</v>
      </c>
      <c r="B12" s="104" t="s">
        <v>59</v>
      </c>
      <c r="C12" s="108" t="s">
        <v>49</v>
      </c>
      <c r="D12" s="106">
        <v>20</v>
      </c>
      <c r="E12" s="107">
        <v>1</v>
      </c>
    </row>
    <row r="13" spans="1:5">
      <c r="A13" s="103" t="s">
        <v>45</v>
      </c>
      <c r="B13" s="104" t="s">
        <v>60</v>
      </c>
      <c r="C13" s="108" t="s">
        <v>61</v>
      </c>
      <c r="D13" s="106">
        <v>3</v>
      </c>
      <c r="E13" s="107">
        <v>1</v>
      </c>
    </row>
    <row r="14" spans="1:5">
      <c r="A14" s="103" t="s">
        <v>45</v>
      </c>
      <c r="B14" s="104" t="s">
        <v>62</v>
      </c>
      <c r="C14" s="108" t="s">
        <v>49</v>
      </c>
      <c r="D14" s="106">
        <v>10</v>
      </c>
      <c r="E14" s="107">
        <v>1</v>
      </c>
    </row>
    <row r="15" spans="1:5">
      <c r="A15" s="103" t="s">
        <v>45</v>
      </c>
      <c r="B15" s="104" t="s">
        <v>63</v>
      </c>
      <c r="C15" s="108" t="s">
        <v>49</v>
      </c>
      <c r="D15" s="106">
        <v>20</v>
      </c>
      <c r="E15" s="107">
        <v>1</v>
      </c>
    </row>
    <row r="16" spans="1:5">
      <c r="A16" s="103" t="s">
        <v>45</v>
      </c>
      <c r="B16" s="104" t="s">
        <v>64</v>
      </c>
      <c r="C16" s="108" t="s">
        <v>49</v>
      </c>
      <c r="D16" s="106">
        <v>20</v>
      </c>
      <c r="E16" s="107">
        <v>1</v>
      </c>
    </row>
    <row r="17" spans="1:5">
      <c r="A17" s="103" t="s">
        <v>45</v>
      </c>
      <c r="B17" s="104" t="s">
        <v>65</v>
      </c>
      <c r="C17" s="108" t="s">
        <v>49</v>
      </c>
      <c r="D17" s="106">
        <v>20</v>
      </c>
      <c r="E17" s="107">
        <v>1</v>
      </c>
    </row>
    <row r="18" spans="1:5">
      <c r="A18" s="103" t="s">
        <v>45</v>
      </c>
      <c r="B18" s="104" t="s">
        <v>66</v>
      </c>
      <c r="C18" s="108" t="s">
        <v>49</v>
      </c>
      <c r="D18" s="109">
        <v>20</v>
      </c>
      <c r="E18" s="107">
        <v>1</v>
      </c>
    </row>
    <row r="19" spans="1:5">
      <c r="A19" s="103" t="s">
        <v>45</v>
      </c>
      <c r="B19" s="104" t="s">
        <v>67</v>
      </c>
      <c r="C19" s="108" t="s">
        <v>49</v>
      </c>
      <c r="D19" s="106">
        <v>20</v>
      </c>
      <c r="E19" s="107">
        <v>1</v>
      </c>
    </row>
    <row r="20" spans="1:5">
      <c r="A20" s="103" t="s">
        <v>45</v>
      </c>
      <c r="B20" s="104" t="s">
        <v>68</v>
      </c>
      <c r="C20" s="108" t="s">
        <v>49</v>
      </c>
      <c r="D20" s="106">
        <v>20</v>
      </c>
      <c r="E20" s="107">
        <v>1</v>
      </c>
    </row>
    <row r="21" spans="1:5">
      <c r="A21" s="103" t="s">
        <v>45</v>
      </c>
      <c r="B21" s="104" t="s">
        <v>69</v>
      </c>
      <c r="C21" s="108" t="s">
        <v>49</v>
      </c>
      <c r="D21" s="106">
        <v>20</v>
      </c>
      <c r="E21" s="107">
        <v>1</v>
      </c>
    </row>
    <row r="22" spans="1:5">
      <c r="A22" s="103" t="s">
        <v>45</v>
      </c>
      <c r="B22" s="104" t="s">
        <v>70</v>
      </c>
      <c r="C22" s="108" t="s">
        <v>49</v>
      </c>
      <c r="D22" s="106">
        <v>20</v>
      </c>
      <c r="E22" s="107">
        <v>1</v>
      </c>
    </row>
    <row r="23" spans="1:5">
      <c r="A23" s="103" t="s">
        <v>45</v>
      </c>
      <c r="B23" s="104" t="s">
        <v>71</v>
      </c>
      <c r="C23" s="108" t="s">
        <v>49</v>
      </c>
      <c r="D23" s="106">
        <v>20</v>
      </c>
      <c r="E23" s="107">
        <v>1</v>
      </c>
    </row>
    <row r="24" spans="1:5">
      <c r="A24" s="103" t="s">
        <v>45</v>
      </c>
      <c r="B24" s="104" t="s">
        <v>72</v>
      </c>
      <c r="C24" s="108" t="s">
        <v>49</v>
      </c>
      <c r="D24" s="106">
        <v>20</v>
      </c>
      <c r="E24" s="107">
        <v>1</v>
      </c>
    </row>
    <row r="25" spans="1:5">
      <c r="A25" s="103" t="s">
        <v>45</v>
      </c>
      <c r="B25" s="104" t="s">
        <v>73</v>
      </c>
      <c r="C25" s="108" t="s">
        <v>49</v>
      </c>
      <c r="D25" s="109">
        <v>20</v>
      </c>
      <c r="E25" s="107">
        <v>1</v>
      </c>
    </row>
    <row r="26" spans="1:5">
      <c r="A26" s="103" t="s">
        <v>45</v>
      </c>
      <c r="B26" s="104" t="s">
        <v>74</v>
      </c>
      <c r="C26" s="108" t="s">
        <v>49</v>
      </c>
      <c r="D26" s="106">
        <v>20</v>
      </c>
      <c r="E26" s="107">
        <v>1</v>
      </c>
    </row>
    <row r="27" spans="1:5">
      <c r="A27" s="103" t="s">
        <v>45</v>
      </c>
      <c r="B27" s="104" t="s">
        <v>75</v>
      </c>
      <c r="C27" s="108" t="s">
        <v>49</v>
      </c>
      <c r="D27" s="106">
        <v>20</v>
      </c>
      <c r="E27" s="107">
        <v>1</v>
      </c>
    </row>
    <row r="28" spans="1:5">
      <c r="A28" s="103" t="s">
        <v>45</v>
      </c>
      <c r="B28" s="104" t="s">
        <v>76</v>
      </c>
      <c r="C28" s="108" t="s">
        <v>61</v>
      </c>
      <c r="D28" s="109">
        <v>1</v>
      </c>
      <c r="E28" s="107">
        <v>1</v>
      </c>
    </row>
    <row r="29" spans="1:5">
      <c r="A29" s="103" t="s">
        <v>45</v>
      </c>
      <c r="B29" s="104" t="s">
        <v>77</v>
      </c>
      <c r="C29" s="108" t="s">
        <v>49</v>
      </c>
      <c r="D29" s="106">
        <v>20</v>
      </c>
      <c r="E29" s="107">
        <v>1</v>
      </c>
    </row>
    <row r="30" spans="1:5">
      <c r="A30" s="103" t="s">
        <v>45</v>
      </c>
      <c r="B30" s="104" t="s">
        <v>78</v>
      </c>
      <c r="C30" s="108" t="s">
        <v>49</v>
      </c>
      <c r="D30" s="109">
        <v>150</v>
      </c>
      <c r="E30" s="107">
        <v>1</v>
      </c>
    </row>
    <row r="31" spans="1:5">
      <c r="A31" s="103" t="s">
        <v>45</v>
      </c>
      <c r="B31" s="104" t="s">
        <v>79</v>
      </c>
      <c r="C31" s="108" t="s">
        <v>49</v>
      </c>
      <c r="D31" s="109">
        <v>20</v>
      </c>
      <c r="E31" s="107">
        <v>1</v>
      </c>
    </row>
    <row r="32" spans="1:5">
      <c r="A32" s="103" t="s">
        <v>45</v>
      </c>
      <c r="B32" s="104" t="s">
        <v>80</v>
      </c>
      <c r="C32" s="108" t="s">
        <v>49</v>
      </c>
      <c r="D32" s="109">
        <v>20</v>
      </c>
      <c r="E32" s="107">
        <v>1</v>
      </c>
    </row>
    <row r="33" spans="1:5">
      <c r="A33" s="103" t="s">
        <v>45</v>
      </c>
      <c r="B33" s="104" t="s">
        <v>81</v>
      </c>
      <c r="C33" s="108" t="s">
        <v>49</v>
      </c>
      <c r="D33" s="106">
        <v>50</v>
      </c>
      <c r="E33" s="107">
        <v>1</v>
      </c>
    </row>
    <row r="34" spans="1:5">
      <c r="A34" s="103" t="s">
        <v>45</v>
      </c>
      <c r="B34" s="104" t="s">
        <v>82</v>
      </c>
      <c r="C34" s="108" t="s">
        <v>49</v>
      </c>
      <c r="D34" s="106">
        <v>20</v>
      </c>
      <c r="E34" s="107">
        <v>1</v>
      </c>
    </row>
    <row r="35" spans="1:5">
      <c r="A35" s="103" t="s">
        <v>45</v>
      </c>
      <c r="B35" s="104" t="s">
        <v>83</v>
      </c>
      <c r="C35" s="108" t="s">
        <v>84</v>
      </c>
      <c r="D35" s="106"/>
      <c r="E35" s="107">
        <v>1</v>
      </c>
    </row>
    <row r="36" spans="1:5">
      <c r="A36" s="103" t="s">
        <v>45</v>
      </c>
      <c r="B36" s="104" t="s">
        <v>85</v>
      </c>
      <c r="C36" s="108" t="s">
        <v>49</v>
      </c>
      <c r="D36" s="106">
        <v>20</v>
      </c>
      <c r="E36" s="107">
        <v>1</v>
      </c>
    </row>
    <row r="37" spans="1:5">
      <c r="A37" s="103" t="s">
        <v>45</v>
      </c>
      <c r="B37" s="104" t="s">
        <v>86</v>
      </c>
      <c r="C37" s="108" t="s">
        <v>87</v>
      </c>
      <c r="D37" s="106">
        <v>30.1</v>
      </c>
      <c r="E37" s="107">
        <v>1</v>
      </c>
    </row>
    <row r="38" spans="1:5">
      <c r="A38" s="103" t="s">
        <v>45</v>
      </c>
      <c r="B38" s="104" t="s">
        <v>88</v>
      </c>
      <c r="C38" s="108" t="s">
        <v>49</v>
      </c>
      <c r="D38" s="109">
        <v>255</v>
      </c>
      <c r="E38" s="107">
        <v>1</v>
      </c>
    </row>
    <row r="39" spans="1:5">
      <c r="A39" s="103" t="s">
        <v>45</v>
      </c>
      <c r="B39" s="104" t="s">
        <v>89</v>
      </c>
      <c r="C39" s="108" t="s">
        <v>49</v>
      </c>
      <c r="D39" s="106">
        <v>255</v>
      </c>
      <c r="E39" s="107">
        <v>1</v>
      </c>
    </row>
    <row r="40" spans="1:5">
      <c r="A40" s="103" t="s">
        <v>45</v>
      </c>
      <c r="B40" s="104" t="s">
        <v>90</v>
      </c>
      <c r="C40" s="108" t="s">
        <v>49</v>
      </c>
      <c r="D40" s="106">
        <v>20</v>
      </c>
      <c r="E40" s="107">
        <v>1</v>
      </c>
    </row>
    <row r="41" spans="1:5">
      <c r="A41" s="103" t="s">
        <v>45</v>
      </c>
      <c r="B41" s="104" t="s">
        <v>91</v>
      </c>
      <c r="C41" s="108" t="s">
        <v>49</v>
      </c>
      <c r="D41" s="106">
        <v>20</v>
      </c>
      <c r="E41" s="107">
        <v>1</v>
      </c>
    </row>
    <row r="42" spans="1:5">
      <c r="A42" s="103" t="s">
        <v>45</v>
      </c>
      <c r="B42" s="104" t="s">
        <v>92</v>
      </c>
      <c r="C42" s="108" t="s">
        <v>49</v>
      </c>
      <c r="D42" s="106">
        <v>6</v>
      </c>
      <c r="E42" s="107">
        <v>1</v>
      </c>
    </row>
    <row r="43" spans="1:5">
      <c r="A43" s="103" t="s">
        <v>45</v>
      </c>
      <c r="B43" s="104" t="s">
        <v>93</v>
      </c>
      <c r="C43" s="104" t="s">
        <v>49</v>
      </c>
      <c r="D43" s="110">
        <v>10</v>
      </c>
      <c r="E43" s="107">
        <v>1</v>
      </c>
    </row>
    <row r="44" spans="1:5">
      <c r="A44" s="103" t="s">
        <v>45</v>
      </c>
      <c r="B44" s="104" t="s">
        <v>94</v>
      </c>
      <c r="C44" s="104" t="s">
        <v>49</v>
      </c>
      <c r="D44" s="110">
        <v>10</v>
      </c>
      <c r="E44" s="107">
        <v>1</v>
      </c>
    </row>
    <row r="45" spans="1:5">
      <c r="A45" s="103" t="s">
        <v>45</v>
      </c>
      <c r="B45" s="104" t="s">
        <v>95</v>
      </c>
      <c r="C45" s="104" t="s">
        <v>49</v>
      </c>
      <c r="D45" s="110">
        <v>10</v>
      </c>
      <c r="E45" s="107">
        <v>1</v>
      </c>
    </row>
    <row r="46" spans="1:5">
      <c r="A46" s="103" t="s">
        <v>45</v>
      </c>
      <c r="B46" s="104" t="s">
        <v>96</v>
      </c>
      <c r="C46" s="104" t="s">
        <v>49</v>
      </c>
      <c r="D46" s="110">
        <v>10</v>
      </c>
      <c r="E46" s="107">
        <v>1</v>
      </c>
    </row>
    <row r="47" spans="1:5">
      <c r="A47" s="103" t="s">
        <v>45</v>
      </c>
      <c r="B47" s="104" t="s">
        <v>97</v>
      </c>
      <c r="C47" s="104" t="s">
        <v>49</v>
      </c>
      <c r="D47" s="110">
        <v>10</v>
      </c>
      <c r="E47" s="107">
        <v>1</v>
      </c>
    </row>
    <row r="48" spans="1:5">
      <c r="A48" s="103" t="s">
        <v>45</v>
      </c>
      <c r="B48" s="104" t="s">
        <v>98</v>
      </c>
      <c r="C48" s="104" t="s">
        <v>49</v>
      </c>
      <c r="D48" s="110">
        <v>10</v>
      </c>
      <c r="E48" s="107">
        <v>1</v>
      </c>
    </row>
    <row r="49" spans="1:5">
      <c r="A49" s="103" t="s">
        <v>45</v>
      </c>
      <c r="B49" s="104" t="s">
        <v>99</v>
      </c>
      <c r="C49" s="104" t="s">
        <v>49</v>
      </c>
      <c r="D49" s="110">
        <v>10</v>
      </c>
      <c r="E49" s="107">
        <v>1</v>
      </c>
    </row>
    <row r="50" spans="1:5">
      <c r="A50" s="103" t="s">
        <v>45</v>
      </c>
      <c r="B50" s="104" t="s">
        <v>100</v>
      </c>
      <c r="C50" s="104" t="s">
        <v>49</v>
      </c>
      <c r="D50" s="110">
        <v>10</v>
      </c>
      <c r="E50" s="107">
        <v>1</v>
      </c>
    </row>
    <row r="51" spans="1:5">
      <c r="A51" s="103" t="s">
        <v>45</v>
      </c>
      <c r="B51" s="104" t="s">
        <v>101</v>
      </c>
      <c r="C51" s="104" t="s">
        <v>47</v>
      </c>
      <c r="D51" s="110"/>
      <c r="E51" s="107">
        <v>1</v>
      </c>
    </row>
    <row r="52" spans="1:5">
      <c r="A52" s="103" t="s">
        <v>45</v>
      </c>
      <c r="B52" s="104" t="s">
        <v>102</v>
      </c>
      <c r="C52" s="104" t="s">
        <v>49</v>
      </c>
      <c r="D52" s="110">
        <v>20</v>
      </c>
      <c r="E52" s="107">
        <v>1</v>
      </c>
    </row>
    <row r="53" spans="1:5">
      <c r="A53" s="103" t="s">
        <v>45</v>
      </c>
      <c r="B53" s="104" t="s">
        <v>103</v>
      </c>
      <c r="C53" s="104" t="s">
        <v>49</v>
      </c>
      <c r="D53" s="110">
        <v>20</v>
      </c>
      <c r="E53" s="107">
        <v>1</v>
      </c>
    </row>
    <row r="54" spans="1:5">
      <c r="A54" s="103" t="s">
        <v>45</v>
      </c>
      <c r="B54" s="104" t="s">
        <v>104</v>
      </c>
      <c r="C54" s="104" t="s">
        <v>87</v>
      </c>
      <c r="D54" s="110">
        <v>30.1</v>
      </c>
      <c r="E54" s="107">
        <v>1</v>
      </c>
    </row>
    <row r="55" spans="1:5">
      <c r="A55" s="103" t="s">
        <v>45</v>
      </c>
      <c r="B55" s="104" t="s">
        <v>105</v>
      </c>
      <c r="C55" s="104" t="s">
        <v>49</v>
      </c>
      <c r="D55" s="110">
        <v>150</v>
      </c>
      <c r="E55" s="107">
        <v>1</v>
      </c>
    </row>
    <row r="56" spans="1:5">
      <c r="A56" s="103" t="s">
        <v>45</v>
      </c>
      <c r="B56" s="104" t="s">
        <v>106</v>
      </c>
      <c r="C56" s="104" t="s">
        <v>47</v>
      </c>
      <c r="D56" s="110"/>
      <c r="E56" s="107">
        <v>1</v>
      </c>
    </row>
    <row r="57" spans="1:5">
      <c r="A57" s="103" t="s">
        <v>45</v>
      </c>
      <c r="B57" s="104" t="s">
        <v>107</v>
      </c>
      <c r="C57" s="104" t="s">
        <v>47</v>
      </c>
      <c r="D57" s="110"/>
      <c r="E57" s="107">
        <v>1</v>
      </c>
    </row>
    <row r="58" spans="1:5">
      <c r="A58" s="103" t="s">
        <v>45</v>
      </c>
      <c r="B58" s="104" t="s">
        <v>108</v>
      </c>
      <c r="C58" s="104" t="s">
        <v>47</v>
      </c>
      <c r="D58" s="110"/>
      <c r="E58" s="107">
        <v>1</v>
      </c>
    </row>
    <row r="59" spans="1:5">
      <c r="A59" s="103" t="s">
        <v>45</v>
      </c>
      <c r="B59" s="104" t="s">
        <v>109</v>
      </c>
      <c r="C59" s="104" t="s">
        <v>47</v>
      </c>
      <c r="D59" s="110"/>
      <c r="E59" s="107">
        <v>1</v>
      </c>
    </row>
    <row r="60" spans="1:5">
      <c r="A60" s="103" t="s">
        <v>45</v>
      </c>
      <c r="B60" s="104" t="s">
        <v>110</v>
      </c>
      <c r="C60" s="104" t="s">
        <v>47</v>
      </c>
      <c r="D60" s="110"/>
      <c r="E60" s="107">
        <v>1</v>
      </c>
    </row>
    <row r="61" spans="1:5">
      <c r="A61" s="103" t="s">
        <v>45</v>
      </c>
      <c r="B61" s="104" t="s">
        <v>111</v>
      </c>
      <c r="C61" s="104" t="s">
        <v>47</v>
      </c>
      <c r="D61" s="110"/>
      <c r="E61" s="107">
        <v>1</v>
      </c>
    </row>
    <row r="62" spans="1:5">
      <c r="A62" s="103" t="s">
        <v>45</v>
      </c>
      <c r="B62" s="104" t="s">
        <v>112</v>
      </c>
      <c r="C62" s="104" t="s">
        <v>47</v>
      </c>
      <c r="D62" s="110"/>
      <c r="E62" s="107">
        <v>1</v>
      </c>
    </row>
    <row r="63" spans="1:5">
      <c r="A63" s="103" t="s">
        <v>45</v>
      </c>
      <c r="B63" s="104" t="s">
        <v>113</v>
      </c>
      <c r="C63" s="104" t="s">
        <v>47</v>
      </c>
      <c r="D63" s="110"/>
      <c r="E63" s="107">
        <v>1</v>
      </c>
    </row>
    <row r="64" spans="1:5">
      <c r="A64" s="103" t="s">
        <v>45</v>
      </c>
      <c r="B64" s="104" t="s">
        <v>114</v>
      </c>
      <c r="C64" s="104" t="s">
        <v>47</v>
      </c>
      <c r="D64" s="110"/>
      <c r="E64" s="107">
        <v>1</v>
      </c>
    </row>
    <row r="65" spans="1:5">
      <c r="A65" s="103" t="s">
        <v>45</v>
      </c>
      <c r="B65" s="104" t="s">
        <v>115</v>
      </c>
      <c r="C65" s="104" t="s">
        <v>87</v>
      </c>
      <c r="D65" s="110">
        <v>30.1</v>
      </c>
      <c r="E65" s="107">
        <v>1</v>
      </c>
    </row>
    <row r="66" spans="1:5">
      <c r="A66" s="103" t="s">
        <v>45</v>
      </c>
      <c r="B66" s="104" t="s">
        <v>116</v>
      </c>
      <c r="C66" s="104" t="s">
        <v>47</v>
      </c>
      <c r="D66" s="110"/>
      <c r="E66" s="107">
        <v>1</v>
      </c>
    </row>
    <row r="67" spans="1:5">
      <c r="A67" s="103" t="s">
        <v>45</v>
      </c>
      <c r="B67" s="104" t="s">
        <v>117</v>
      </c>
      <c r="C67" s="104" t="s">
        <v>47</v>
      </c>
      <c r="D67" s="110"/>
      <c r="E67" s="107">
        <v>1</v>
      </c>
    </row>
    <row r="68" spans="1:5">
      <c r="A68" s="103" t="s">
        <v>45</v>
      </c>
      <c r="B68" s="104" t="s">
        <v>118</v>
      </c>
      <c r="C68" s="104" t="s">
        <v>49</v>
      </c>
      <c r="D68" s="110">
        <v>150</v>
      </c>
      <c r="E68" s="107">
        <v>1</v>
      </c>
    </row>
    <row r="69" spans="1:5">
      <c r="A69" s="103" t="s">
        <v>45</v>
      </c>
      <c r="B69" s="104" t="s">
        <v>119</v>
      </c>
      <c r="C69" s="104" t="s">
        <v>87</v>
      </c>
      <c r="D69" s="110">
        <v>30.1</v>
      </c>
      <c r="E69" s="107">
        <v>1</v>
      </c>
    </row>
    <row r="70" spans="1:5">
      <c r="A70" s="103" t="s">
        <v>45</v>
      </c>
      <c r="B70" s="104" t="s">
        <v>120</v>
      </c>
      <c r="C70" s="104" t="s">
        <v>49</v>
      </c>
      <c r="D70" s="110">
        <v>255</v>
      </c>
      <c r="E70" s="107">
        <v>1</v>
      </c>
    </row>
    <row r="71" spans="1:5">
      <c r="A71" s="103" t="s">
        <v>45</v>
      </c>
      <c r="B71" s="104" t="s">
        <v>121</v>
      </c>
      <c r="C71" s="104" t="s">
        <v>84</v>
      </c>
      <c r="D71" s="110"/>
      <c r="E71" s="107">
        <v>1</v>
      </c>
    </row>
    <row r="72" spans="1:5">
      <c r="A72" s="103" t="s">
        <v>45</v>
      </c>
      <c r="B72" s="104" t="s">
        <v>122</v>
      </c>
      <c r="C72" s="104" t="s">
        <v>87</v>
      </c>
      <c r="D72" s="110">
        <v>20.2</v>
      </c>
      <c r="E72" s="107">
        <v>1</v>
      </c>
    </row>
    <row r="73" spans="1:5">
      <c r="A73" s="103" t="s">
        <v>45</v>
      </c>
      <c r="B73" s="104" t="s">
        <v>123</v>
      </c>
      <c r="C73" s="104" t="s">
        <v>87</v>
      </c>
      <c r="D73" s="110">
        <v>20.2</v>
      </c>
      <c r="E73" s="107">
        <v>1</v>
      </c>
    </row>
    <row r="74" spans="1:5">
      <c r="A74" s="103" t="s">
        <v>45</v>
      </c>
      <c r="B74" s="104" t="s">
        <v>124</v>
      </c>
      <c r="C74" s="104" t="s">
        <v>61</v>
      </c>
      <c r="D74" s="110">
        <v>5</v>
      </c>
      <c r="E74" s="107">
        <v>1</v>
      </c>
    </row>
    <row r="75" spans="1:5">
      <c r="A75" s="103" t="s">
        <v>45</v>
      </c>
      <c r="B75" s="104" t="s">
        <v>125</v>
      </c>
      <c r="C75" s="104" t="s">
        <v>49</v>
      </c>
      <c r="D75" s="110">
        <v>150</v>
      </c>
      <c r="E75" s="107">
        <v>1</v>
      </c>
    </row>
    <row r="76" spans="1:5">
      <c r="A76" s="103" t="s">
        <v>45</v>
      </c>
      <c r="B76" s="104" t="s">
        <v>126</v>
      </c>
      <c r="C76" s="104" t="s">
        <v>61</v>
      </c>
      <c r="D76" s="110">
        <v>1</v>
      </c>
      <c r="E76" s="107">
        <v>1</v>
      </c>
    </row>
    <row r="77" spans="1:5">
      <c r="A77" s="103" t="s">
        <v>45</v>
      </c>
      <c r="B77" s="104" t="s">
        <v>127</v>
      </c>
      <c r="C77" s="104" t="s">
        <v>87</v>
      </c>
      <c r="D77" s="110">
        <v>30.1</v>
      </c>
      <c r="E77" s="107">
        <v>1</v>
      </c>
    </row>
    <row r="78" spans="1:5">
      <c r="A78" s="103" t="s">
        <v>45</v>
      </c>
      <c r="B78" s="104" t="s">
        <v>128</v>
      </c>
      <c r="C78" s="104" t="s">
        <v>87</v>
      </c>
      <c r="D78" s="110">
        <v>30.1</v>
      </c>
      <c r="E78" s="107">
        <v>1</v>
      </c>
    </row>
    <row r="79" spans="1:5">
      <c r="A79" s="103" t="s">
        <v>45</v>
      </c>
      <c r="B79" s="104" t="s">
        <v>129</v>
      </c>
      <c r="C79" s="104" t="s">
        <v>87</v>
      </c>
      <c r="D79" s="110">
        <v>30.1</v>
      </c>
      <c r="E79" s="107">
        <v>1</v>
      </c>
    </row>
    <row r="80" spans="1:5">
      <c r="A80" s="103" t="s">
        <v>45</v>
      </c>
      <c r="B80" s="104" t="s">
        <v>130</v>
      </c>
      <c r="C80" s="104" t="s">
        <v>87</v>
      </c>
      <c r="D80" s="110">
        <v>30.1</v>
      </c>
      <c r="E80" s="107">
        <v>1</v>
      </c>
    </row>
    <row r="81" spans="1:5">
      <c r="A81" s="103" t="s">
        <v>45</v>
      </c>
      <c r="B81" s="104" t="s">
        <v>131</v>
      </c>
      <c r="C81" s="104" t="s">
        <v>87</v>
      </c>
      <c r="D81" s="110">
        <v>30.1</v>
      </c>
      <c r="E81" s="107">
        <v>1</v>
      </c>
    </row>
    <row r="82" spans="1:5">
      <c r="A82" s="103" t="s">
        <v>45</v>
      </c>
      <c r="B82" s="104" t="s">
        <v>132</v>
      </c>
      <c r="C82" s="104" t="s">
        <v>87</v>
      </c>
      <c r="D82" s="110">
        <v>30.1</v>
      </c>
      <c r="E82" s="107">
        <v>1</v>
      </c>
    </row>
    <row r="83" spans="1:5">
      <c r="A83" s="103" t="s">
        <v>45</v>
      </c>
      <c r="B83" s="104" t="s">
        <v>133</v>
      </c>
      <c r="C83" s="104" t="s">
        <v>87</v>
      </c>
      <c r="D83" s="110">
        <v>30.1</v>
      </c>
      <c r="E83" s="107">
        <v>1</v>
      </c>
    </row>
    <row r="84" spans="1:5">
      <c r="A84" s="103" t="s">
        <v>45</v>
      </c>
      <c r="B84" s="104" t="s">
        <v>134</v>
      </c>
      <c r="C84" s="104" t="s">
        <v>87</v>
      </c>
      <c r="D84" s="110">
        <v>30.1</v>
      </c>
      <c r="E84" s="107">
        <v>1</v>
      </c>
    </row>
    <row r="85" spans="1:5">
      <c r="A85" s="103" t="s">
        <v>45</v>
      </c>
      <c r="B85" s="104" t="s">
        <v>135</v>
      </c>
      <c r="C85" s="104" t="s">
        <v>47</v>
      </c>
      <c r="D85" s="110"/>
      <c r="E85" s="107">
        <v>1</v>
      </c>
    </row>
    <row r="86" spans="1:5">
      <c r="A86" s="103" t="s">
        <v>45</v>
      </c>
      <c r="B86" s="104" t="s">
        <v>136</v>
      </c>
      <c r="C86" s="104" t="s">
        <v>87</v>
      </c>
      <c r="D86" s="110">
        <v>30.1</v>
      </c>
      <c r="E86" s="107">
        <v>1</v>
      </c>
    </row>
    <row r="87" spans="1:5">
      <c r="A87" s="103" t="s">
        <v>45</v>
      </c>
      <c r="B87" s="104" t="s">
        <v>137</v>
      </c>
      <c r="C87" s="104" t="s">
        <v>87</v>
      </c>
      <c r="D87" s="110">
        <v>30.1</v>
      </c>
      <c r="E87" s="107">
        <v>1</v>
      </c>
    </row>
    <row r="88" spans="1:5">
      <c r="A88" s="103" t="s">
        <v>45</v>
      </c>
      <c r="B88" s="104" t="s">
        <v>138</v>
      </c>
      <c r="C88" s="104" t="s">
        <v>87</v>
      </c>
      <c r="D88" s="110">
        <v>30.1</v>
      </c>
      <c r="E88" s="107">
        <v>1</v>
      </c>
    </row>
    <row r="89" spans="1:5">
      <c r="A89" s="103" t="s">
        <v>45</v>
      </c>
      <c r="B89" s="104" t="s">
        <v>139</v>
      </c>
      <c r="C89" s="104" t="s">
        <v>87</v>
      </c>
      <c r="D89" s="110">
        <v>30.1</v>
      </c>
      <c r="E89" s="107">
        <v>1</v>
      </c>
    </row>
    <row r="90" spans="1:5">
      <c r="A90" s="103" t="s">
        <v>45</v>
      </c>
      <c r="B90" s="104" t="s">
        <v>140</v>
      </c>
      <c r="C90" s="104" t="s">
        <v>87</v>
      </c>
      <c r="D90" s="110">
        <v>30.1</v>
      </c>
      <c r="E90" s="107">
        <v>1</v>
      </c>
    </row>
    <row r="91" spans="1:5">
      <c r="A91" s="103" t="s">
        <v>45</v>
      </c>
      <c r="B91" s="104" t="s">
        <v>141</v>
      </c>
      <c r="C91" s="104" t="s">
        <v>87</v>
      </c>
      <c r="D91" s="110">
        <v>30.1</v>
      </c>
      <c r="E91" s="107">
        <v>1</v>
      </c>
    </row>
    <row r="92" spans="1:5">
      <c r="A92" s="103" t="s">
        <v>45</v>
      </c>
      <c r="B92" s="104" t="s">
        <v>142</v>
      </c>
      <c r="C92" s="104" t="s">
        <v>87</v>
      </c>
      <c r="D92" s="110">
        <v>30.1</v>
      </c>
      <c r="E92" s="107">
        <v>1</v>
      </c>
    </row>
    <row r="93" spans="1:5">
      <c r="A93" s="103" t="s">
        <v>45</v>
      </c>
      <c r="B93" s="104" t="s">
        <v>143</v>
      </c>
      <c r="C93" s="104" t="s">
        <v>87</v>
      </c>
      <c r="D93" s="110">
        <v>30.1</v>
      </c>
      <c r="E93" s="107">
        <v>1</v>
      </c>
    </row>
    <row r="94" spans="1:5">
      <c r="A94" s="103" t="s">
        <v>45</v>
      </c>
      <c r="B94" s="104" t="s">
        <v>144</v>
      </c>
      <c r="C94" s="104" t="s">
        <v>87</v>
      </c>
      <c r="D94" s="110">
        <v>30.1</v>
      </c>
      <c r="E94" s="107">
        <v>1</v>
      </c>
    </row>
    <row r="95" spans="1:5">
      <c r="A95" s="103" t="s">
        <v>45</v>
      </c>
      <c r="B95" s="104" t="s">
        <v>145</v>
      </c>
      <c r="C95" s="104" t="s">
        <v>87</v>
      </c>
      <c r="D95" s="110">
        <v>30.1</v>
      </c>
      <c r="E95" s="107">
        <v>1</v>
      </c>
    </row>
    <row r="96" spans="1:5">
      <c r="A96" s="103" t="s">
        <v>45</v>
      </c>
      <c r="B96" s="104" t="s">
        <v>146</v>
      </c>
      <c r="C96" s="104" t="s">
        <v>49</v>
      </c>
      <c r="D96" s="110">
        <v>20</v>
      </c>
      <c r="E96" s="107">
        <v>1</v>
      </c>
    </row>
    <row r="97" spans="1:5">
      <c r="A97" s="103" t="s">
        <v>45</v>
      </c>
      <c r="B97" s="104" t="s">
        <v>147</v>
      </c>
      <c r="C97" s="104" t="s">
        <v>49</v>
      </c>
      <c r="D97" s="110">
        <v>50</v>
      </c>
      <c r="E97" s="107">
        <v>1</v>
      </c>
    </row>
    <row r="98" spans="1:5">
      <c r="A98" s="103" t="s">
        <v>45</v>
      </c>
      <c r="B98" s="104" t="s">
        <v>148</v>
      </c>
      <c r="C98" s="104" t="s">
        <v>49</v>
      </c>
      <c r="D98" s="110">
        <v>20</v>
      </c>
      <c r="E98" s="107">
        <v>1</v>
      </c>
    </row>
    <row r="99" spans="1:5">
      <c r="A99" s="103" t="s">
        <v>45</v>
      </c>
      <c r="B99" s="104" t="s">
        <v>149</v>
      </c>
      <c r="C99" s="104" t="s">
        <v>49</v>
      </c>
      <c r="D99" s="110">
        <v>20</v>
      </c>
      <c r="E99" s="107">
        <v>1</v>
      </c>
    </row>
    <row r="100" spans="1:5">
      <c r="A100" s="103" t="s">
        <v>45</v>
      </c>
      <c r="B100" s="104" t="s">
        <v>150</v>
      </c>
      <c r="C100" s="104" t="s">
        <v>49</v>
      </c>
      <c r="D100" s="110">
        <v>20</v>
      </c>
      <c r="E100" s="107">
        <v>1</v>
      </c>
    </row>
    <row r="101" spans="1:5">
      <c r="A101" s="103" t="s">
        <v>45</v>
      </c>
      <c r="B101" s="104" t="s">
        <v>151</v>
      </c>
      <c r="C101" s="104" t="s">
        <v>49</v>
      </c>
      <c r="D101" s="110">
        <v>50</v>
      </c>
      <c r="E101" s="107">
        <v>1</v>
      </c>
    </row>
    <row r="102" spans="1:5">
      <c r="A102" s="103" t="s">
        <v>45</v>
      </c>
      <c r="B102" s="104" t="s">
        <v>152</v>
      </c>
      <c r="C102" s="104" t="s">
        <v>49</v>
      </c>
      <c r="D102" s="110">
        <v>10</v>
      </c>
      <c r="E102" s="107">
        <v>1</v>
      </c>
    </row>
    <row r="103" spans="1:5">
      <c r="A103" s="103" t="s">
        <v>45</v>
      </c>
      <c r="B103" s="104" t="s">
        <v>153</v>
      </c>
      <c r="C103" s="104" t="s">
        <v>49</v>
      </c>
      <c r="D103" s="110">
        <v>50</v>
      </c>
      <c r="E103" s="107">
        <v>1</v>
      </c>
    </row>
    <row r="104" spans="1:5">
      <c r="A104" s="103" t="s">
        <v>45</v>
      </c>
      <c r="B104" s="104" t="s">
        <v>154</v>
      </c>
      <c r="C104" s="104" t="s">
        <v>49</v>
      </c>
      <c r="D104" s="110">
        <v>20</v>
      </c>
      <c r="E104" s="107">
        <v>1</v>
      </c>
    </row>
    <row r="105" spans="1:5">
      <c r="A105" s="103" t="s">
        <v>45</v>
      </c>
      <c r="B105" s="104" t="s">
        <v>155</v>
      </c>
      <c r="C105" s="104" t="s">
        <v>49</v>
      </c>
      <c r="D105" s="110">
        <v>10</v>
      </c>
      <c r="E105" s="107">
        <v>1</v>
      </c>
    </row>
    <row r="106" spans="1:5">
      <c r="A106" s="103" t="s">
        <v>45</v>
      </c>
      <c r="B106" s="104" t="s">
        <v>156</v>
      </c>
      <c r="C106" s="104" t="s">
        <v>49</v>
      </c>
      <c r="D106" s="110">
        <v>300</v>
      </c>
      <c r="E106" s="107">
        <v>1</v>
      </c>
    </row>
    <row r="107" spans="1:5">
      <c r="A107" s="103" t="s">
        <v>45</v>
      </c>
      <c r="B107" s="104" t="s">
        <v>157</v>
      </c>
      <c r="C107" s="104" t="s">
        <v>49</v>
      </c>
      <c r="D107" s="110">
        <v>150</v>
      </c>
      <c r="E107" s="107">
        <v>1</v>
      </c>
    </row>
    <row r="108" spans="1:5">
      <c r="A108" s="103" t="s">
        <v>45</v>
      </c>
      <c r="B108" s="104" t="s">
        <v>158</v>
      </c>
      <c r="C108" s="104" t="s">
        <v>49</v>
      </c>
      <c r="D108" s="110">
        <v>150</v>
      </c>
      <c r="E108" s="107">
        <v>1</v>
      </c>
    </row>
    <row r="109" spans="1:5">
      <c r="A109" s="103" t="s">
        <v>45</v>
      </c>
      <c r="B109" s="104" t="s">
        <v>159</v>
      </c>
      <c r="C109" s="104" t="s">
        <v>87</v>
      </c>
      <c r="D109" s="110">
        <v>20.2</v>
      </c>
      <c r="E109" s="107">
        <v>1</v>
      </c>
    </row>
    <row r="110" spans="1:5">
      <c r="A110" s="103" t="s">
        <v>45</v>
      </c>
      <c r="B110" s="104" t="s">
        <v>160</v>
      </c>
      <c r="C110" s="104" t="s">
        <v>49</v>
      </c>
      <c r="D110" s="110">
        <v>10</v>
      </c>
      <c r="E110" s="107">
        <v>1</v>
      </c>
    </row>
    <row r="111" spans="1:5">
      <c r="A111" s="103" t="s">
        <v>45</v>
      </c>
      <c r="B111" s="104" t="s">
        <v>161</v>
      </c>
      <c r="C111" s="104" t="s">
        <v>49</v>
      </c>
      <c r="D111" s="110">
        <v>300</v>
      </c>
      <c r="E111" s="107">
        <v>1</v>
      </c>
    </row>
    <row r="112" spans="1:5">
      <c r="A112" s="103" t="s">
        <v>45</v>
      </c>
      <c r="B112" s="104" t="s">
        <v>162</v>
      </c>
      <c r="C112" s="104" t="s">
        <v>49</v>
      </c>
      <c r="D112" s="110">
        <v>100</v>
      </c>
      <c r="E112" s="107">
        <v>1</v>
      </c>
    </row>
    <row r="113" spans="1:5">
      <c r="A113" s="103" t="s">
        <v>45</v>
      </c>
      <c r="B113" s="104" t="s">
        <v>163</v>
      </c>
      <c r="C113" s="104" t="s">
        <v>49</v>
      </c>
      <c r="D113" s="110">
        <v>100</v>
      </c>
      <c r="E113" s="107">
        <v>1</v>
      </c>
    </row>
    <row r="114" spans="1:5">
      <c r="A114" s="111" t="s">
        <v>45</v>
      </c>
      <c r="B114" s="112" t="s">
        <v>164</v>
      </c>
      <c r="C114" s="112" t="s">
        <v>49</v>
      </c>
      <c r="D114" s="113">
        <v>100</v>
      </c>
      <c r="E114" s="114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707E4-AEAD-4F2E-9614-58435E8FA599}">
  <dimension ref="A1:K131"/>
  <sheetViews>
    <sheetView showGridLines="0" topLeftCell="A120" zoomScale="70" zoomScaleNormal="70" workbookViewId="0">
      <selection activeCell="A129" sqref="A129"/>
    </sheetView>
  </sheetViews>
  <sheetFormatPr defaultRowHeight="14.45"/>
  <cols>
    <col min="1" max="1" width="8.7109375" customWidth="1"/>
    <col min="2" max="2" width="32.42578125" bestFit="1" customWidth="1"/>
    <col min="3" max="3" width="48.140625" bestFit="1" customWidth="1"/>
    <col min="4" max="4" width="57.5703125" customWidth="1"/>
    <col min="5" max="5" width="15.5703125" customWidth="1"/>
    <col min="6" max="6" width="25.5703125" customWidth="1"/>
    <col min="7" max="7" width="35.5703125" customWidth="1"/>
    <col min="8" max="8" width="40.5703125" customWidth="1"/>
    <col min="9" max="9" width="30.5703125" customWidth="1"/>
  </cols>
  <sheetData>
    <row r="1" spans="1:9" s="2" customFormat="1">
      <c r="A1" s="76" t="s">
        <v>165</v>
      </c>
      <c r="B1" s="76"/>
      <c r="C1" s="76"/>
      <c r="D1" s="1"/>
      <c r="E1" s="1"/>
      <c r="F1" s="1"/>
      <c r="G1" s="1"/>
    </row>
    <row r="2" spans="1:9" s="2" customFormat="1">
      <c r="A2" s="3"/>
      <c r="C2" s="1"/>
      <c r="D2" s="1"/>
      <c r="E2" s="1"/>
      <c r="F2" s="1"/>
      <c r="G2" s="1"/>
    </row>
    <row r="3" spans="1:9" s="2" customFormat="1">
      <c r="A3" s="4" t="s">
        <v>166</v>
      </c>
      <c r="B3" s="5"/>
      <c r="C3" s="1"/>
      <c r="D3" s="1"/>
      <c r="E3" s="1"/>
      <c r="F3" s="1"/>
      <c r="G3" s="1"/>
    </row>
    <row r="4" spans="1:9" s="2" customFormat="1">
      <c r="A4" s="115" t="s">
        <v>167</v>
      </c>
      <c r="B4" s="115" t="s">
        <v>168</v>
      </c>
      <c r="C4" s="115" t="s">
        <v>169</v>
      </c>
      <c r="D4" s="115" t="s">
        <v>170</v>
      </c>
      <c r="E4" s="115" t="s">
        <v>171</v>
      </c>
      <c r="F4" s="116" t="s">
        <v>172</v>
      </c>
      <c r="G4" s="116" t="s">
        <v>173</v>
      </c>
      <c r="H4" s="116" t="s">
        <v>6</v>
      </c>
    </row>
    <row r="5" spans="1:9" s="2" customFormat="1">
      <c r="A5" s="117">
        <v>1</v>
      </c>
      <c r="B5" s="118" t="s">
        <v>174</v>
      </c>
      <c r="C5" s="118" t="s">
        <v>45</v>
      </c>
      <c r="D5" s="118" t="s">
        <v>175</v>
      </c>
      <c r="E5" s="118" t="s">
        <v>176</v>
      </c>
      <c r="F5" s="119" t="s">
        <v>22</v>
      </c>
      <c r="G5" s="120" t="s">
        <v>45</v>
      </c>
      <c r="H5" s="121"/>
    </row>
    <row r="6" spans="1:9" s="2" customFormat="1">
      <c r="A6" s="117"/>
      <c r="B6" s="118"/>
      <c r="C6" s="118"/>
      <c r="D6" s="118"/>
      <c r="E6" s="118"/>
      <c r="F6" s="119"/>
      <c r="G6" s="122"/>
      <c r="H6" s="122"/>
    </row>
    <row r="7" spans="1:9" s="2" customFormat="1">
      <c r="A7" s="3"/>
      <c r="C7" s="1"/>
      <c r="D7" s="1"/>
      <c r="E7" s="1"/>
      <c r="F7" s="1"/>
      <c r="G7" s="1"/>
    </row>
    <row r="8" spans="1:9" ht="15" thickBot="1">
      <c r="C8" s="6" t="s">
        <v>177</v>
      </c>
      <c r="D8" s="28"/>
      <c r="E8" s="29"/>
      <c r="F8" s="30"/>
      <c r="G8" s="31" t="s">
        <v>178</v>
      </c>
      <c r="H8" s="29"/>
      <c r="I8" s="29"/>
    </row>
    <row r="9" spans="1:9" ht="58.5" thickBot="1">
      <c r="C9" s="7" t="s">
        <v>179</v>
      </c>
      <c r="D9" s="7" t="s">
        <v>180</v>
      </c>
      <c r="E9" s="29"/>
      <c r="F9" s="30"/>
      <c r="G9" s="7" t="s">
        <v>172</v>
      </c>
      <c r="H9" s="7" t="s">
        <v>181</v>
      </c>
      <c r="I9" s="8" t="s">
        <v>182</v>
      </c>
    </row>
    <row r="10" spans="1:9">
      <c r="C10" s="32" t="s">
        <v>183</v>
      </c>
      <c r="D10" s="32" t="s">
        <v>183</v>
      </c>
      <c r="E10" s="33"/>
      <c r="F10" s="30"/>
      <c r="G10" s="34" t="s">
        <v>184</v>
      </c>
      <c r="H10" s="35" t="s">
        <v>185</v>
      </c>
      <c r="I10" s="36"/>
    </row>
    <row r="11" spans="1:9" s="37" customFormat="1">
      <c r="C11" s="9"/>
      <c r="D11" s="9"/>
      <c r="E11" s="33"/>
      <c r="F11" s="33"/>
      <c r="G11" s="38"/>
      <c r="H11" s="35"/>
      <c r="I11" s="39"/>
    </row>
    <row r="12" spans="1:9">
      <c r="A12" s="40"/>
      <c r="B12" s="40"/>
      <c r="C12" s="40"/>
      <c r="D12" s="40"/>
      <c r="E12" s="40"/>
      <c r="F12" s="40"/>
      <c r="G12" s="40"/>
      <c r="H12" s="30"/>
      <c r="I12" s="30"/>
    </row>
    <row r="13" spans="1:9" ht="15" thickBot="1">
      <c r="A13" s="10" t="s">
        <v>186</v>
      </c>
      <c r="B13" s="10"/>
      <c r="C13" s="40"/>
      <c r="D13" s="40"/>
      <c r="E13" s="40"/>
      <c r="F13" s="40"/>
      <c r="G13" s="40"/>
      <c r="H13" s="30"/>
      <c r="I13" s="30"/>
    </row>
    <row r="14" spans="1:9" s="2" customFormat="1" ht="15">
      <c r="A14" s="80" t="s">
        <v>187</v>
      </c>
      <c r="B14" s="81"/>
      <c r="C14" s="81"/>
      <c r="D14" s="81"/>
      <c r="E14" s="82"/>
      <c r="F14" s="77" t="s">
        <v>166</v>
      </c>
      <c r="G14" s="78"/>
      <c r="H14" s="78"/>
      <c r="I14" s="79"/>
    </row>
    <row r="15" spans="1:9" s="16" customFormat="1" ht="15">
      <c r="A15" s="11" t="s">
        <v>188</v>
      </c>
      <c r="B15" s="12" t="s">
        <v>189</v>
      </c>
      <c r="C15" s="12" t="s">
        <v>190</v>
      </c>
      <c r="D15" s="12" t="s">
        <v>191</v>
      </c>
      <c r="E15" s="13" t="s">
        <v>192</v>
      </c>
      <c r="F15" s="14" t="s">
        <v>193</v>
      </c>
      <c r="G15" s="15" t="s">
        <v>194</v>
      </c>
      <c r="H15" s="15" t="s">
        <v>195</v>
      </c>
      <c r="I15" s="24" t="s">
        <v>196</v>
      </c>
    </row>
    <row r="16" spans="1:9" s="2" customFormat="1" ht="15">
      <c r="A16" s="17">
        <v>1</v>
      </c>
      <c r="B16" s="105" t="s">
        <v>46</v>
      </c>
      <c r="C16" s="105" t="s">
        <v>197</v>
      </c>
      <c r="D16" s="105" t="s">
        <v>198</v>
      </c>
      <c r="E16" s="105" t="s">
        <v>47</v>
      </c>
      <c r="F16" s="41"/>
      <c r="G16" s="42"/>
      <c r="H16" s="123" t="s">
        <v>199</v>
      </c>
      <c r="I16" s="43" t="s">
        <v>200</v>
      </c>
    </row>
    <row r="17" spans="1:9" s="2" customFormat="1">
      <c r="A17" s="124">
        <v>2</v>
      </c>
      <c r="B17" s="105" t="s">
        <v>48</v>
      </c>
      <c r="C17" s="105" t="s">
        <v>201</v>
      </c>
      <c r="D17" s="105"/>
      <c r="E17" s="105" t="s">
        <v>202</v>
      </c>
      <c r="F17" s="125" t="s">
        <v>45</v>
      </c>
      <c r="G17" s="126" t="s">
        <v>48</v>
      </c>
      <c r="H17" s="127" t="str">
        <f>"ISNULL(T1."&amp;G17&amp;", '')"</f>
        <v>ISNULL(T1.DATA_SOURCE, '')</v>
      </c>
      <c r="I17" s="127"/>
    </row>
    <row r="18" spans="1:9" s="2" customFormat="1">
      <c r="A18" s="124">
        <v>3</v>
      </c>
      <c r="B18" s="108" t="s">
        <v>50</v>
      </c>
      <c r="C18" s="108" t="s">
        <v>203</v>
      </c>
      <c r="D18" s="108"/>
      <c r="E18" s="108" t="s">
        <v>204</v>
      </c>
      <c r="F18" s="125" t="s">
        <v>45</v>
      </c>
      <c r="G18" s="126" t="s">
        <v>50</v>
      </c>
      <c r="H18" s="127" t="str">
        <f t="shared" ref="H18:H69" si="0">"ISNULL(T1."&amp;G18&amp;", '')"</f>
        <v>ISNULL(T1.PARTY_NO, '')</v>
      </c>
      <c r="I18" s="128"/>
    </row>
    <row r="19" spans="1:9" s="2" customFormat="1">
      <c r="A19" s="124">
        <v>4</v>
      </c>
      <c r="B19" s="108" t="s">
        <v>51</v>
      </c>
      <c r="C19" s="108" t="s">
        <v>205</v>
      </c>
      <c r="D19" s="108"/>
      <c r="E19" s="108" t="s">
        <v>206</v>
      </c>
      <c r="F19" s="125" t="s">
        <v>45</v>
      </c>
      <c r="G19" s="129" t="s">
        <v>51</v>
      </c>
      <c r="H19" s="127" t="str">
        <f t="shared" si="0"/>
        <v>ISNULL(T1.ACCT_NO, '')</v>
      </c>
      <c r="I19" s="128"/>
    </row>
    <row r="20" spans="1:9" s="2" customFormat="1">
      <c r="A20" s="124">
        <v>5</v>
      </c>
      <c r="B20" s="108" t="s">
        <v>52</v>
      </c>
      <c r="C20" s="108" t="s">
        <v>207</v>
      </c>
      <c r="D20" s="108"/>
      <c r="E20" s="108" t="s">
        <v>204</v>
      </c>
      <c r="F20" s="125" t="s">
        <v>45</v>
      </c>
      <c r="G20" s="129" t="s">
        <v>52</v>
      </c>
      <c r="H20" s="127" t="str">
        <f t="shared" si="0"/>
        <v>ISNULL(T1.SPRTY_NO, '')</v>
      </c>
      <c r="I20" s="128"/>
    </row>
    <row r="21" spans="1:9" s="2" customFormat="1">
      <c r="A21" s="124">
        <v>6</v>
      </c>
      <c r="B21" s="108" t="s">
        <v>53</v>
      </c>
      <c r="C21" s="108"/>
      <c r="D21" s="108"/>
      <c r="E21" s="108" t="s">
        <v>204</v>
      </c>
      <c r="F21" s="125" t="s">
        <v>45</v>
      </c>
      <c r="G21" s="129" t="s">
        <v>53</v>
      </c>
      <c r="H21" s="127" t="str">
        <f t="shared" si="0"/>
        <v>ISNULL(T1.ID_PARTY, '')</v>
      </c>
      <c r="I21" s="128"/>
    </row>
    <row r="22" spans="1:9" s="2" customFormat="1">
      <c r="A22" s="124">
        <v>7</v>
      </c>
      <c r="B22" s="108" t="s">
        <v>54</v>
      </c>
      <c r="C22" s="108"/>
      <c r="D22" s="108"/>
      <c r="E22" s="108" t="s">
        <v>208</v>
      </c>
      <c r="F22" s="125" t="s">
        <v>45</v>
      </c>
      <c r="G22" s="108" t="s">
        <v>54</v>
      </c>
      <c r="H22" s="127" t="str">
        <f>"ISNULL(T1."&amp;G22&amp;", 0)"</f>
        <v>ISNULL(T1.POOL_ID, 0)</v>
      </c>
      <c r="I22" s="128"/>
    </row>
    <row r="23" spans="1:9" s="2" customFormat="1">
      <c r="A23" s="124">
        <v>8</v>
      </c>
      <c r="B23" s="108" t="s">
        <v>56</v>
      </c>
      <c r="C23" s="130" t="s">
        <v>209</v>
      </c>
      <c r="D23" s="108"/>
      <c r="E23" s="108" t="s">
        <v>206</v>
      </c>
      <c r="F23" s="125" t="s">
        <v>45</v>
      </c>
      <c r="G23" s="108" t="s">
        <v>56</v>
      </c>
      <c r="H23" s="127" t="str">
        <f t="shared" si="0"/>
        <v>ISNULL(T1.LIMIT_NO, '')</v>
      </c>
      <c r="I23" s="128"/>
    </row>
    <row r="24" spans="1:9" s="2" customFormat="1">
      <c r="A24" s="124">
        <v>9</v>
      </c>
      <c r="B24" s="108" t="s">
        <v>57</v>
      </c>
      <c r="C24" s="108" t="s">
        <v>210</v>
      </c>
      <c r="D24" s="108"/>
      <c r="E24" s="108" t="s">
        <v>211</v>
      </c>
      <c r="F24" s="125" t="s">
        <v>45</v>
      </c>
      <c r="G24" s="108" t="s">
        <v>57</v>
      </c>
      <c r="H24" s="127" t="str">
        <f t="shared" si="0"/>
        <v>ISNULL(T1.INIT_CONTRACT_NO, '')</v>
      </c>
      <c r="I24" s="128"/>
    </row>
    <row r="25" spans="1:9" s="2" customFormat="1">
      <c r="A25" s="124">
        <v>10</v>
      </c>
      <c r="B25" s="108" t="s">
        <v>58</v>
      </c>
      <c r="C25" s="108" t="s">
        <v>212</v>
      </c>
      <c r="D25" s="108"/>
      <c r="E25" s="108" t="s">
        <v>213</v>
      </c>
      <c r="F25" s="125" t="s">
        <v>45</v>
      </c>
      <c r="G25" s="108" t="s">
        <v>58</v>
      </c>
      <c r="H25" s="127" t="str">
        <f t="shared" si="0"/>
        <v>ISNULL(T1.BRANCH_CD, '')</v>
      </c>
      <c r="I25" s="128"/>
    </row>
    <row r="26" spans="1:9" s="2" customFormat="1">
      <c r="A26" s="124">
        <v>11</v>
      </c>
      <c r="B26" s="108" t="s">
        <v>59</v>
      </c>
      <c r="C26" s="108"/>
      <c r="D26" s="108"/>
      <c r="E26" s="108" t="s">
        <v>204</v>
      </c>
      <c r="F26" s="125" t="s">
        <v>45</v>
      </c>
      <c r="G26" s="108" t="s">
        <v>59</v>
      </c>
      <c r="H26" s="127" t="str">
        <f t="shared" si="0"/>
        <v>ISNULL(T1.RESTRU_CD, '')</v>
      </c>
      <c r="I26" s="128"/>
    </row>
    <row r="27" spans="1:9" s="2" customFormat="1">
      <c r="A27" s="124">
        <v>12</v>
      </c>
      <c r="B27" s="108" t="s">
        <v>60</v>
      </c>
      <c r="C27" s="108" t="s">
        <v>214</v>
      </c>
      <c r="D27" s="108"/>
      <c r="E27" s="108" t="s">
        <v>215</v>
      </c>
      <c r="F27" s="125" t="s">
        <v>45</v>
      </c>
      <c r="G27" s="108" t="s">
        <v>60</v>
      </c>
      <c r="H27" s="127" t="str">
        <f t="shared" si="0"/>
        <v>ISNULL(T1.CCY_CD, '')</v>
      </c>
      <c r="I27" s="128"/>
    </row>
    <row r="28" spans="1:9">
      <c r="A28" s="124">
        <v>13</v>
      </c>
      <c r="B28" s="108" t="s">
        <v>62</v>
      </c>
      <c r="C28" s="108" t="s">
        <v>216</v>
      </c>
      <c r="D28" s="108"/>
      <c r="E28" s="108" t="s">
        <v>213</v>
      </c>
      <c r="F28" s="125" t="s">
        <v>45</v>
      </c>
      <c r="G28" s="108" t="s">
        <v>62</v>
      </c>
      <c r="H28" s="127" t="str">
        <f t="shared" si="0"/>
        <v>ISNULL(T1.CREDIT_CLASS, '')</v>
      </c>
      <c r="I28" s="128"/>
    </row>
    <row r="29" spans="1:9">
      <c r="A29" s="124">
        <v>14</v>
      </c>
      <c r="B29" s="108" t="s">
        <v>63</v>
      </c>
      <c r="C29" s="108"/>
      <c r="D29" s="108"/>
      <c r="E29" s="108" t="s">
        <v>204</v>
      </c>
      <c r="F29" s="125" t="s">
        <v>45</v>
      </c>
      <c r="G29" s="108" t="s">
        <v>63</v>
      </c>
      <c r="H29" s="127" t="str">
        <f t="shared" si="0"/>
        <v>ISNULL(T1.OPERATION, '')</v>
      </c>
      <c r="I29" s="128"/>
    </row>
    <row r="30" spans="1:9">
      <c r="A30" s="124">
        <v>15</v>
      </c>
      <c r="B30" s="108" t="s">
        <v>64</v>
      </c>
      <c r="C30" s="108"/>
      <c r="D30" s="108"/>
      <c r="E30" s="108" t="s">
        <v>204</v>
      </c>
      <c r="F30" s="125" t="s">
        <v>45</v>
      </c>
      <c r="G30" s="108" t="s">
        <v>64</v>
      </c>
      <c r="H30" s="127" t="str">
        <f t="shared" si="0"/>
        <v>ISNULL(T1.TRANSFER_OS, '')</v>
      </c>
      <c r="I30" s="128"/>
    </row>
    <row r="31" spans="1:9">
      <c r="A31" s="124">
        <v>16</v>
      </c>
      <c r="B31" s="108" t="s">
        <v>65</v>
      </c>
      <c r="C31" s="108"/>
      <c r="D31" s="108"/>
      <c r="E31" s="108" t="s">
        <v>204</v>
      </c>
      <c r="F31" s="125" t="s">
        <v>45</v>
      </c>
      <c r="G31" s="108" t="s">
        <v>65</v>
      </c>
      <c r="H31" s="127" t="str">
        <f t="shared" si="0"/>
        <v>ISNULL(T1.SID_START, '')</v>
      </c>
      <c r="I31" s="128"/>
    </row>
    <row r="32" spans="1:9">
      <c r="A32" s="124">
        <v>17</v>
      </c>
      <c r="B32" s="108" t="s">
        <v>66</v>
      </c>
      <c r="C32" s="108"/>
      <c r="D32" s="108"/>
      <c r="E32" s="108" t="s">
        <v>204</v>
      </c>
      <c r="F32" s="125" t="s">
        <v>45</v>
      </c>
      <c r="G32" s="108" t="s">
        <v>66</v>
      </c>
      <c r="H32" s="127" t="str">
        <f t="shared" si="0"/>
        <v>ISNULL(T1.SYR_CONTRACT, '')</v>
      </c>
      <c r="I32" s="128"/>
    </row>
    <row r="33" spans="1:9">
      <c r="A33" s="124">
        <v>18</v>
      </c>
      <c r="B33" s="108" t="s">
        <v>67</v>
      </c>
      <c r="C33" s="108"/>
      <c r="D33" s="108"/>
      <c r="E33" s="108" t="s">
        <v>204</v>
      </c>
      <c r="F33" s="125" t="s">
        <v>45</v>
      </c>
      <c r="G33" s="108" t="s">
        <v>67</v>
      </c>
      <c r="H33" s="127" t="str">
        <f t="shared" si="0"/>
        <v>ISNULL(T1.SPECPROD_NONPKE, '')</v>
      </c>
      <c r="I33" s="128"/>
    </row>
    <row r="34" spans="1:9">
      <c r="A34" s="124">
        <v>19</v>
      </c>
      <c r="B34" s="108" t="s">
        <v>68</v>
      </c>
      <c r="C34" s="108"/>
      <c r="D34" s="108"/>
      <c r="E34" s="108" t="s">
        <v>204</v>
      </c>
      <c r="F34" s="125" t="s">
        <v>45</v>
      </c>
      <c r="G34" s="108" t="s">
        <v>68</v>
      </c>
      <c r="H34" s="127" t="str">
        <f t="shared" si="0"/>
        <v>ISNULL(T1.PROGRAM_PKE, '')</v>
      </c>
      <c r="I34" s="128"/>
    </row>
    <row r="35" spans="1:9">
      <c r="A35" s="124">
        <v>20</v>
      </c>
      <c r="B35" s="108" t="s">
        <v>69</v>
      </c>
      <c r="C35" s="108"/>
      <c r="D35" s="108"/>
      <c r="E35" s="108" t="s">
        <v>204</v>
      </c>
      <c r="F35" s="125" t="s">
        <v>45</v>
      </c>
      <c r="G35" s="108" t="s">
        <v>69</v>
      </c>
      <c r="H35" s="127" t="str">
        <f t="shared" si="0"/>
        <v>ISNULL(T1.ID_BANK, '')</v>
      </c>
      <c r="I35" s="128"/>
    </row>
    <row r="36" spans="1:9">
      <c r="A36" s="124">
        <v>21</v>
      </c>
      <c r="B36" s="108" t="s">
        <v>70</v>
      </c>
      <c r="C36" s="108"/>
      <c r="D36" s="108"/>
      <c r="E36" s="108" t="s">
        <v>204</v>
      </c>
      <c r="F36" s="125" t="s">
        <v>45</v>
      </c>
      <c r="G36" s="108" t="s">
        <v>70</v>
      </c>
      <c r="H36" s="127" t="str">
        <f t="shared" si="0"/>
        <v>ISNULL(T1.ID_FACILITY, '')</v>
      </c>
      <c r="I36" s="128"/>
    </row>
    <row r="37" spans="1:9">
      <c r="A37" s="124">
        <v>22</v>
      </c>
      <c r="B37" s="108" t="s">
        <v>71</v>
      </c>
      <c r="C37" s="108"/>
      <c r="D37" s="108"/>
      <c r="E37" s="108" t="s">
        <v>204</v>
      </c>
      <c r="F37" s="125" t="s">
        <v>45</v>
      </c>
      <c r="G37" s="108" t="s">
        <v>71</v>
      </c>
      <c r="H37" s="127" t="str">
        <f t="shared" si="0"/>
        <v>ISNULL(T1.ID_BRANCH_OFFICE, '')</v>
      </c>
      <c r="I37" s="128"/>
    </row>
    <row r="38" spans="1:9">
      <c r="A38" s="124">
        <v>23</v>
      </c>
      <c r="B38" s="108" t="s">
        <v>72</v>
      </c>
      <c r="C38" s="108"/>
      <c r="D38" s="108"/>
      <c r="E38" s="108" t="s">
        <v>204</v>
      </c>
      <c r="F38" s="125" t="s">
        <v>45</v>
      </c>
      <c r="G38" s="108" t="s">
        <v>72</v>
      </c>
      <c r="H38" s="127" t="str">
        <f t="shared" si="0"/>
        <v>ISNULL(T1.ID_OFFICE, '')</v>
      </c>
      <c r="I38" s="128"/>
    </row>
    <row r="39" spans="1:9">
      <c r="A39" s="124">
        <v>24</v>
      </c>
      <c r="B39" s="108" t="s">
        <v>73</v>
      </c>
      <c r="C39" s="108"/>
      <c r="D39" s="108"/>
      <c r="E39" s="108" t="s">
        <v>204</v>
      </c>
      <c r="F39" s="125" t="s">
        <v>45</v>
      </c>
      <c r="G39" s="108" t="s">
        <v>73</v>
      </c>
      <c r="H39" s="127" t="str">
        <f t="shared" si="0"/>
        <v>ISNULL(T1.ID_CCY, '')</v>
      </c>
      <c r="I39" s="128"/>
    </row>
    <row r="40" spans="1:9">
      <c r="A40" s="124">
        <v>25</v>
      </c>
      <c r="B40" s="108" t="s">
        <v>74</v>
      </c>
      <c r="C40" s="108"/>
      <c r="D40" s="108"/>
      <c r="E40" s="108" t="s">
        <v>204</v>
      </c>
      <c r="F40" s="125" t="s">
        <v>45</v>
      </c>
      <c r="G40" s="108" t="s">
        <v>74</v>
      </c>
      <c r="H40" s="127" t="str">
        <f t="shared" si="0"/>
        <v>ISNULL(T1.ACC_TP, '')</v>
      </c>
      <c r="I40" s="128"/>
    </row>
    <row r="41" spans="1:9">
      <c r="A41" s="124">
        <v>26</v>
      </c>
      <c r="B41" s="108" t="s">
        <v>75</v>
      </c>
      <c r="C41" s="108"/>
      <c r="D41" s="108"/>
      <c r="E41" s="108" t="s">
        <v>204</v>
      </c>
      <c r="F41" s="125" t="s">
        <v>45</v>
      </c>
      <c r="G41" s="108" t="s">
        <v>75</v>
      </c>
      <c r="H41" s="127" t="str">
        <f t="shared" si="0"/>
        <v>ISNULL(T1.ACCT_TP, '')</v>
      </c>
      <c r="I41" s="128"/>
    </row>
    <row r="42" spans="1:9">
      <c r="A42" s="124">
        <v>27</v>
      </c>
      <c r="B42" s="108" t="s">
        <v>76</v>
      </c>
      <c r="C42" s="108"/>
      <c r="D42" s="108"/>
      <c r="E42" s="108" t="s">
        <v>217</v>
      </c>
      <c r="F42" s="125" t="s">
        <v>45</v>
      </c>
      <c r="G42" s="108" t="s">
        <v>76</v>
      </c>
      <c r="H42" s="127" t="str">
        <f t="shared" si="0"/>
        <v>ISNULL(T1.FAC_TP, '')</v>
      </c>
      <c r="I42" s="128"/>
    </row>
    <row r="43" spans="1:9">
      <c r="A43" s="124">
        <v>28</v>
      </c>
      <c r="B43" s="108" t="s">
        <v>77</v>
      </c>
      <c r="C43" s="108"/>
      <c r="D43" s="108"/>
      <c r="E43" s="108" t="s">
        <v>204</v>
      </c>
      <c r="F43" s="125" t="s">
        <v>45</v>
      </c>
      <c r="G43" s="108" t="s">
        <v>77</v>
      </c>
      <c r="H43" s="127" t="str">
        <f t="shared" si="0"/>
        <v>ISNULL(T1.USAGE_TP, '')</v>
      </c>
      <c r="I43" s="128"/>
    </row>
    <row r="44" spans="1:9">
      <c r="A44" s="124">
        <v>29</v>
      </c>
      <c r="B44" s="108" t="s">
        <v>78</v>
      </c>
      <c r="C44" s="108"/>
      <c r="D44" s="108"/>
      <c r="E44" s="108" t="s">
        <v>211</v>
      </c>
      <c r="F44" s="125" t="s">
        <v>45</v>
      </c>
      <c r="G44" s="108" t="s">
        <v>78</v>
      </c>
      <c r="H44" s="127" t="str">
        <f t="shared" si="0"/>
        <v>ISNULL(T1.PROD_TP, '')</v>
      </c>
      <c r="I44" s="128"/>
    </row>
    <row r="45" spans="1:9">
      <c r="A45" s="124">
        <v>30</v>
      </c>
      <c r="B45" s="108" t="s">
        <v>79</v>
      </c>
      <c r="C45" s="108"/>
      <c r="D45" s="108"/>
      <c r="E45" s="108" t="s">
        <v>204</v>
      </c>
      <c r="F45" s="125" t="s">
        <v>45</v>
      </c>
      <c r="G45" s="108" t="s">
        <v>79</v>
      </c>
      <c r="H45" s="127" t="str">
        <f t="shared" si="0"/>
        <v>ISNULL(T1.ORIENT_TP, '')</v>
      </c>
      <c r="I45" s="128"/>
    </row>
    <row r="46" spans="1:9">
      <c r="A46" s="124">
        <v>31</v>
      </c>
      <c r="B46" s="108" t="s">
        <v>80</v>
      </c>
      <c r="C46" s="108"/>
      <c r="D46" s="108"/>
      <c r="E46" s="108" t="s">
        <v>204</v>
      </c>
      <c r="F46" s="125" t="s">
        <v>45</v>
      </c>
      <c r="G46" s="108" t="s">
        <v>80</v>
      </c>
      <c r="H46" s="127" t="str">
        <f t="shared" si="0"/>
        <v>ISNULL(T1.INT_TP, '')</v>
      </c>
      <c r="I46" s="128"/>
    </row>
    <row r="47" spans="1:9">
      <c r="A47" s="124">
        <v>32</v>
      </c>
      <c r="B47" s="108" t="s">
        <v>81</v>
      </c>
      <c r="C47" s="108"/>
      <c r="D47" s="108"/>
      <c r="E47" s="108" t="s">
        <v>206</v>
      </c>
      <c r="F47" s="125" t="s">
        <v>45</v>
      </c>
      <c r="G47" s="108" t="s">
        <v>81</v>
      </c>
      <c r="H47" s="127" t="str">
        <f t="shared" si="0"/>
        <v>ISNULL(T1.RESTRU_TP, '')</v>
      </c>
      <c r="I47" s="128"/>
    </row>
    <row r="48" spans="1:9">
      <c r="A48" s="124">
        <v>33</v>
      </c>
      <c r="B48" s="108" t="s">
        <v>82</v>
      </c>
      <c r="C48" s="108"/>
      <c r="D48" s="108"/>
      <c r="E48" s="108" t="s">
        <v>204</v>
      </c>
      <c r="F48" s="125" t="s">
        <v>45</v>
      </c>
      <c r="G48" s="108" t="s">
        <v>82</v>
      </c>
      <c r="H48" s="127" t="str">
        <f t="shared" si="0"/>
        <v>ISNULL(T1.NOVATION_TP, '')</v>
      </c>
      <c r="I48" s="128"/>
    </row>
    <row r="49" spans="1:9">
      <c r="A49" s="124">
        <v>34</v>
      </c>
      <c r="B49" s="108" t="s">
        <v>83</v>
      </c>
      <c r="C49" s="108"/>
      <c r="D49" s="108"/>
      <c r="E49" s="108" t="s">
        <v>84</v>
      </c>
      <c r="F49" s="125" t="s">
        <v>45</v>
      </c>
      <c r="G49" s="108" t="s">
        <v>83</v>
      </c>
      <c r="H49" s="127" t="str">
        <f t="shared" si="0"/>
        <v>ISNULL(T1.RESTRU_CNT, '')</v>
      </c>
      <c r="I49" s="128"/>
    </row>
    <row r="50" spans="1:9">
      <c r="A50" s="124">
        <v>35</v>
      </c>
      <c r="B50" s="108" t="s">
        <v>85</v>
      </c>
      <c r="C50" s="108"/>
      <c r="D50" s="108"/>
      <c r="E50" s="108" t="s">
        <v>204</v>
      </c>
      <c r="F50" s="125" t="s">
        <v>45</v>
      </c>
      <c r="G50" s="108" t="s">
        <v>85</v>
      </c>
      <c r="H50" s="127" t="str">
        <f t="shared" si="0"/>
        <v>ISNULL(T1.LIMIT_CAT, '')</v>
      </c>
      <c r="I50" s="128"/>
    </row>
    <row r="51" spans="1:9">
      <c r="A51" s="124">
        <v>36</v>
      </c>
      <c r="B51" s="108" t="s">
        <v>86</v>
      </c>
      <c r="C51" s="108"/>
      <c r="D51" s="108"/>
      <c r="E51" s="108" t="s">
        <v>218</v>
      </c>
      <c r="F51" s="125" t="s">
        <v>45</v>
      </c>
      <c r="G51" s="108" t="s">
        <v>86</v>
      </c>
      <c r="H51" s="127" t="str">
        <f>"ISNULL(T1."&amp;G51&amp;", 0)"</f>
        <v>ISNULL(T1.SYND_PART_PCT, 0)</v>
      </c>
      <c r="I51" s="128"/>
    </row>
    <row r="52" spans="1:9">
      <c r="A52" s="124">
        <v>37</v>
      </c>
      <c r="B52" s="108" t="s">
        <v>88</v>
      </c>
      <c r="C52" s="108"/>
      <c r="D52" s="108"/>
      <c r="E52" s="108" t="s">
        <v>219</v>
      </c>
      <c r="F52" s="125" t="s">
        <v>45</v>
      </c>
      <c r="G52" s="108" t="s">
        <v>88</v>
      </c>
      <c r="H52" s="127" t="str">
        <f t="shared" si="0"/>
        <v>ISNULL(T1.MAIN_CA, '')</v>
      </c>
      <c r="I52" s="128"/>
    </row>
    <row r="53" spans="1:9">
      <c r="A53" s="124">
        <v>38</v>
      </c>
      <c r="B53" s="108" t="s">
        <v>89</v>
      </c>
      <c r="C53" s="108"/>
      <c r="D53" s="108"/>
      <c r="E53" s="108" t="s">
        <v>219</v>
      </c>
      <c r="F53" s="125" t="s">
        <v>45</v>
      </c>
      <c r="G53" s="108" t="s">
        <v>89</v>
      </c>
      <c r="H53" s="127" t="str">
        <f t="shared" si="0"/>
        <v>ISNULL(T1.LATEST_CA, '')</v>
      </c>
      <c r="I53" s="128"/>
    </row>
    <row r="54" spans="1:9">
      <c r="A54" s="124">
        <v>39</v>
      </c>
      <c r="B54" s="108" t="s">
        <v>90</v>
      </c>
      <c r="C54" s="108"/>
      <c r="D54" s="108"/>
      <c r="E54" s="108" t="s">
        <v>204</v>
      </c>
      <c r="F54" s="125" t="s">
        <v>45</v>
      </c>
      <c r="G54" s="108" t="s">
        <v>90</v>
      </c>
      <c r="H54" s="127" t="str">
        <f t="shared" si="0"/>
        <v>ISNULL(T1.SERIAL_NO, '')</v>
      </c>
      <c r="I54" s="128"/>
    </row>
    <row r="55" spans="1:9">
      <c r="A55" s="124">
        <v>40</v>
      </c>
      <c r="B55" s="108" t="s">
        <v>91</v>
      </c>
      <c r="C55" s="108"/>
      <c r="D55" s="108"/>
      <c r="E55" s="108" t="s">
        <v>204</v>
      </c>
      <c r="F55" s="125" t="s">
        <v>45</v>
      </c>
      <c r="G55" s="126" t="s">
        <v>91</v>
      </c>
      <c r="H55" s="127" t="str">
        <f t="shared" si="0"/>
        <v>ISNULL(T1.PRJ_LOC, '')</v>
      </c>
      <c r="I55" s="128"/>
    </row>
    <row r="56" spans="1:9">
      <c r="A56" s="124">
        <v>41</v>
      </c>
      <c r="B56" s="108" t="s">
        <v>92</v>
      </c>
      <c r="C56" s="108"/>
      <c r="D56" s="108"/>
      <c r="E56" s="108" t="s">
        <v>220</v>
      </c>
      <c r="F56" s="125" t="s">
        <v>45</v>
      </c>
      <c r="G56" s="126" t="s">
        <v>92</v>
      </c>
      <c r="H56" s="127" t="str">
        <f t="shared" si="0"/>
        <v>ISNULL(T1.DATI2, '')</v>
      </c>
      <c r="I56" s="128"/>
    </row>
    <row r="57" spans="1:9">
      <c r="A57" s="124">
        <v>42</v>
      </c>
      <c r="B57" s="104" t="s">
        <v>93</v>
      </c>
      <c r="C57" s="104"/>
      <c r="D57" s="104"/>
      <c r="E57" s="104" t="s">
        <v>213</v>
      </c>
      <c r="F57" s="125" t="s">
        <v>45</v>
      </c>
      <c r="G57" s="104" t="s">
        <v>93</v>
      </c>
      <c r="H57" s="127" t="str">
        <f t="shared" si="0"/>
        <v>ISNULL(T1.CB_LOC_CD, '')</v>
      </c>
      <c r="I57" s="104"/>
    </row>
    <row r="58" spans="1:9">
      <c r="A58" s="124">
        <v>43</v>
      </c>
      <c r="B58" s="104" t="s">
        <v>94</v>
      </c>
      <c r="C58" s="104"/>
      <c r="D58" s="104"/>
      <c r="E58" s="104" t="s">
        <v>213</v>
      </c>
      <c r="F58" s="125" t="s">
        <v>45</v>
      </c>
      <c r="G58" s="104" t="s">
        <v>94</v>
      </c>
      <c r="H58" s="127" t="str">
        <f t="shared" si="0"/>
        <v>ISNULL(T1.HS_ES_CD, '')</v>
      </c>
      <c r="I58" s="104"/>
    </row>
    <row r="59" spans="1:9">
      <c r="A59" s="124">
        <v>44</v>
      </c>
      <c r="B59" s="104" t="s">
        <v>95</v>
      </c>
      <c r="C59" s="104" t="s">
        <v>221</v>
      </c>
      <c r="D59" s="104"/>
      <c r="E59" s="104" t="s">
        <v>213</v>
      </c>
      <c r="F59" s="125" t="s">
        <v>45</v>
      </c>
      <c r="G59" s="104" t="s">
        <v>95</v>
      </c>
      <c r="H59" s="127" t="str">
        <f t="shared" si="0"/>
        <v>ISNULL(T1.ECO_SECTOR_CD, '')</v>
      </c>
      <c r="I59" s="104"/>
    </row>
    <row r="60" spans="1:9">
      <c r="A60" s="124">
        <v>45</v>
      </c>
      <c r="B60" s="104" t="s">
        <v>96</v>
      </c>
      <c r="C60" s="104"/>
      <c r="D60" s="104"/>
      <c r="E60" s="104" t="s">
        <v>213</v>
      </c>
      <c r="F60" s="125" t="s">
        <v>45</v>
      </c>
      <c r="G60" s="104" t="s">
        <v>96</v>
      </c>
      <c r="H60" s="127" t="str">
        <f t="shared" si="0"/>
        <v>ISNULL(T1.BUS_PROG_CD, '')</v>
      </c>
      <c r="I60" s="104"/>
    </row>
    <row r="61" spans="1:9">
      <c r="A61" s="124">
        <v>46</v>
      </c>
      <c r="B61" s="104" t="s">
        <v>97</v>
      </c>
      <c r="C61" s="104"/>
      <c r="D61" s="104"/>
      <c r="E61" s="104" t="s">
        <v>213</v>
      </c>
      <c r="F61" s="125" t="s">
        <v>45</v>
      </c>
      <c r="G61" s="104" t="s">
        <v>97</v>
      </c>
      <c r="H61" s="127" t="str">
        <f t="shared" si="0"/>
        <v>ISNULL(T1.GOV_CR_CD, '')</v>
      </c>
      <c r="I61" s="104"/>
    </row>
    <row r="62" spans="1:9">
      <c r="A62" s="124">
        <v>47</v>
      </c>
      <c r="B62" s="104" t="s">
        <v>98</v>
      </c>
      <c r="C62" s="104"/>
      <c r="D62" s="104"/>
      <c r="E62" s="104" t="s">
        <v>213</v>
      </c>
      <c r="F62" s="125" t="s">
        <v>45</v>
      </c>
      <c r="G62" s="104" t="s">
        <v>98</v>
      </c>
      <c r="H62" s="127" t="str">
        <f t="shared" si="0"/>
        <v>ISNULL(T1.CONTRACT_TP_CD, '')</v>
      </c>
      <c r="I62" s="104"/>
    </row>
    <row r="63" spans="1:9">
      <c r="A63" s="124">
        <v>48</v>
      </c>
      <c r="B63" s="104" t="s">
        <v>99</v>
      </c>
      <c r="C63" s="104"/>
      <c r="D63" s="104"/>
      <c r="E63" s="104" t="s">
        <v>213</v>
      </c>
      <c r="F63" s="125" t="s">
        <v>45</v>
      </c>
      <c r="G63" s="104" t="s">
        <v>99</v>
      </c>
      <c r="H63" s="127" t="str">
        <f t="shared" si="0"/>
        <v>ISNULL(T1.CR_TP_CD, '')</v>
      </c>
      <c r="I63" s="104"/>
    </row>
    <row r="64" spans="1:9">
      <c r="A64" s="124">
        <v>49</v>
      </c>
      <c r="B64" s="104" t="s">
        <v>100</v>
      </c>
      <c r="C64" s="104"/>
      <c r="D64" s="104"/>
      <c r="E64" s="104" t="s">
        <v>213</v>
      </c>
      <c r="F64" s="125" t="s">
        <v>45</v>
      </c>
      <c r="G64" s="104" t="s">
        <v>100</v>
      </c>
      <c r="H64" s="127" t="str">
        <f t="shared" si="0"/>
        <v>ISNULL(T1.LOAN_QUALITY_CONTRACT, '')</v>
      </c>
      <c r="I64" s="104"/>
    </row>
    <row r="65" spans="1:9">
      <c r="A65" s="124">
        <v>50</v>
      </c>
      <c r="B65" s="104" t="s">
        <v>101</v>
      </c>
      <c r="C65" s="104" t="s">
        <v>222</v>
      </c>
      <c r="D65" s="104"/>
      <c r="E65" s="104" t="s">
        <v>47</v>
      </c>
      <c r="F65" s="125" t="s">
        <v>45</v>
      </c>
      <c r="G65" s="104" t="s">
        <v>101</v>
      </c>
      <c r="H65" s="127" t="str">
        <f>"T1."&amp;G65</f>
        <v>T1.INIT_CONTRACT_DT</v>
      </c>
      <c r="I65" s="104"/>
    </row>
    <row r="66" spans="1:9">
      <c r="A66" s="124">
        <v>51</v>
      </c>
      <c r="B66" s="104" t="s">
        <v>102</v>
      </c>
      <c r="C66" s="104"/>
      <c r="D66" s="104"/>
      <c r="E66" s="104" t="s">
        <v>204</v>
      </c>
      <c r="F66" s="125" t="s">
        <v>45</v>
      </c>
      <c r="G66" s="104" t="s">
        <v>102</v>
      </c>
      <c r="H66" s="127" t="str">
        <f t="shared" si="0"/>
        <v>ISNULL(T1.INT_RT_INFO, '')</v>
      </c>
      <c r="I66" s="104"/>
    </row>
    <row r="67" spans="1:9">
      <c r="A67" s="124">
        <v>52</v>
      </c>
      <c r="B67" s="104" t="s">
        <v>103</v>
      </c>
      <c r="C67" s="104"/>
      <c r="D67" s="104"/>
      <c r="E67" s="104" t="s">
        <v>204</v>
      </c>
      <c r="F67" s="125" t="s">
        <v>45</v>
      </c>
      <c r="G67" s="104" t="s">
        <v>103</v>
      </c>
      <c r="H67" s="127" t="str">
        <f t="shared" si="0"/>
        <v>ISNULL(T1.NATURE_INT_RT, '')</v>
      </c>
      <c r="I67" s="104"/>
    </row>
    <row r="68" spans="1:9">
      <c r="A68" s="124">
        <v>53</v>
      </c>
      <c r="B68" s="104" t="s">
        <v>104</v>
      </c>
      <c r="C68" s="104" t="s">
        <v>223</v>
      </c>
      <c r="D68" s="104"/>
      <c r="E68" s="104" t="s">
        <v>218</v>
      </c>
      <c r="F68" s="125" t="s">
        <v>45</v>
      </c>
      <c r="G68" s="104" t="s">
        <v>104</v>
      </c>
      <c r="H68" s="127" t="str">
        <f>"ISNULL(T1."&amp;G68&amp;", 0)"</f>
        <v>ISNULL(T1.INT_RT, 0)</v>
      </c>
      <c r="I68" s="104"/>
    </row>
    <row r="69" spans="1:9">
      <c r="A69" s="124">
        <v>54</v>
      </c>
      <c r="B69" s="104" t="s">
        <v>105</v>
      </c>
      <c r="C69" s="104" t="s">
        <v>224</v>
      </c>
      <c r="D69" s="104"/>
      <c r="E69" s="104" t="s">
        <v>211</v>
      </c>
      <c r="F69" s="125" t="s">
        <v>45</v>
      </c>
      <c r="G69" s="104" t="s">
        <v>105</v>
      </c>
      <c r="H69" s="127" t="str">
        <f t="shared" si="0"/>
        <v>ISNULL(T1.CONTRACT_NO, '')</v>
      </c>
      <c r="I69" s="104"/>
    </row>
    <row r="70" spans="1:9">
      <c r="A70" s="124">
        <v>55</v>
      </c>
      <c r="B70" s="104" t="s">
        <v>106</v>
      </c>
      <c r="C70" s="104" t="s">
        <v>225</v>
      </c>
      <c r="D70" s="104"/>
      <c r="E70" s="104" t="s">
        <v>47</v>
      </c>
      <c r="F70" s="125" t="s">
        <v>45</v>
      </c>
      <c r="G70" s="104" t="s">
        <v>106</v>
      </c>
      <c r="H70" s="127" t="str">
        <f t="shared" ref="H70:H78" si="1">"T1."&amp;G70</f>
        <v>T1.CONTRACT_DT</v>
      </c>
      <c r="I70" s="104"/>
    </row>
    <row r="71" spans="1:9">
      <c r="A71" s="124">
        <v>56</v>
      </c>
      <c r="B71" s="104" t="s">
        <v>107</v>
      </c>
      <c r="C71" s="104"/>
      <c r="D71" s="104"/>
      <c r="E71" s="104" t="s">
        <v>47</v>
      </c>
      <c r="F71" s="125" t="s">
        <v>45</v>
      </c>
      <c r="G71" s="104" t="s">
        <v>107</v>
      </c>
      <c r="H71" s="127" t="str">
        <f t="shared" si="1"/>
        <v>T1.DUE_DT</v>
      </c>
      <c r="I71" s="104"/>
    </row>
    <row r="72" spans="1:9">
      <c r="A72" s="124">
        <v>57</v>
      </c>
      <c r="B72" s="104" t="s">
        <v>108</v>
      </c>
      <c r="C72" s="104"/>
      <c r="D72" s="104"/>
      <c r="E72" s="104" t="s">
        <v>47</v>
      </c>
      <c r="F72" s="125" t="s">
        <v>45</v>
      </c>
      <c r="G72" s="104" t="s">
        <v>108</v>
      </c>
      <c r="H72" s="127" t="str">
        <f t="shared" si="1"/>
        <v>T1.MATURITY_DT</v>
      </c>
      <c r="I72" s="104"/>
    </row>
    <row r="73" spans="1:9">
      <c r="A73" s="124">
        <v>58</v>
      </c>
      <c r="B73" s="104" t="s">
        <v>109</v>
      </c>
      <c r="C73" s="104"/>
      <c r="D73" s="104"/>
      <c r="E73" s="104" t="s">
        <v>47</v>
      </c>
      <c r="F73" s="125" t="s">
        <v>45</v>
      </c>
      <c r="G73" s="104" t="s">
        <v>109</v>
      </c>
      <c r="H73" s="127" t="str">
        <f t="shared" si="1"/>
        <v>T1.VALUE_DT</v>
      </c>
      <c r="I73" s="104"/>
    </row>
    <row r="74" spans="1:9">
      <c r="A74" s="124">
        <v>59</v>
      </c>
      <c r="B74" s="104" t="s">
        <v>110</v>
      </c>
      <c r="C74" s="104"/>
      <c r="D74" s="104"/>
      <c r="E74" s="104" t="s">
        <v>47</v>
      </c>
      <c r="F74" s="125" t="s">
        <v>45</v>
      </c>
      <c r="G74" s="104" t="s">
        <v>110</v>
      </c>
      <c r="H74" s="127" t="str">
        <f t="shared" si="1"/>
        <v>T1.START_DT</v>
      </c>
      <c r="I74" s="104"/>
    </row>
    <row r="75" spans="1:9">
      <c r="A75" s="124">
        <v>60</v>
      </c>
      <c r="B75" s="104" t="s">
        <v>111</v>
      </c>
      <c r="C75" s="104"/>
      <c r="D75" s="104"/>
      <c r="E75" s="104" t="s">
        <v>47</v>
      </c>
      <c r="F75" s="125" t="s">
        <v>45</v>
      </c>
      <c r="G75" s="104" t="s">
        <v>111</v>
      </c>
      <c r="H75" s="127" t="str">
        <f t="shared" si="1"/>
        <v>T1.CREDIT_START_DT</v>
      </c>
      <c r="I75" s="104"/>
    </row>
    <row r="76" spans="1:9">
      <c r="A76" s="124">
        <v>61</v>
      </c>
      <c r="B76" s="104" t="s">
        <v>112</v>
      </c>
      <c r="C76" s="104"/>
      <c r="D76" s="104"/>
      <c r="E76" s="104" t="s">
        <v>47</v>
      </c>
      <c r="F76" s="125" t="s">
        <v>45</v>
      </c>
      <c r="G76" s="104" t="s">
        <v>112</v>
      </c>
      <c r="H76" s="127" t="str">
        <f t="shared" si="1"/>
        <v>T1.RESTRU_DT</v>
      </c>
      <c r="I76" s="104"/>
    </row>
    <row r="77" spans="1:9">
      <c r="A77" s="124">
        <v>62</v>
      </c>
      <c r="B77" s="104" t="s">
        <v>113</v>
      </c>
      <c r="C77" s="104"/>
      <c r="D77" s="104"/>
      <c r="E77" s="104" t="s">
        <v>47</v>
      </c>
      <c r="F77" s="125" t="s">
        <v>45</v>
      </c>
      <c r="G77" s="104" t="s">
        <v>113</v>
      </c>
      <c r="H77" s="127" t="str">
        <f t="shared" si="1"/>
        <v>T1.RESTRU_START_DT</v>
      </c>
      <c r="I77" s="104"/>
    </row>
    <row r="78" spans="1:9">
      <c r="A78" s="124">
        <v>63</v>
      </c>
      <c r="B78" s="104" t="s">
        <v>114</v>
      </c>
      <c r="C78" s="104"/>
      <c r="D78" s="104"/>
      <c r="E78" s="104" t="s">
        <v>47</v>
      </c>
      <c r="F78" s="125" t="s">
        <v>45</v>
      </c>
      <c r="G78" s="104" t="s">
        <v>114</v>
      </c>
      <c r="H78" s="127" t="str">
        <f t="shared" si="1"/>
        <v>T1.NOVATION_DT</v>
      </c>
      <c r="I78" s="104"/>
    </row>
    <row r="79" spans="1:9">
      <c r="A79" s="124">
        <v>64</v>
      </c>
      <c r="B79" s="104" t="s">
        <v>115</v>
      </c>
      <c r="C79" s="104"/>
      <c r="D79" s="104"/>
      <c r="E79" s="104" t="s">
        <v>218</v>
      </c>
      <c r="F79" s="125" t="s">
        <v>45</v>
      </c>
      <c r="G79" s="104" t="s">
        <v>115</v>
      </c>
      <c r="H79" s="127" t="str">
        <f>"ISNULL(T1."&amp;G79&amp;", 0)"</f>
        <v>ISNULL(T1.EXP_REV_PKE, 0)</v>
      </c>
      <c r="I79" s="104"/>
    </row>
    <row r="80" spans="1:9">
      <c r="A80" s="124">
        <v>65</v>
      </c>
      <c r="B80" s="104" t="s">
        <v>116</v>
      </c>
      <c r="C80" s="104"/>
      <c r="D80" s="104"/>
      <c r="E80" s="104" t="s">
        <v>47</v>
      </c>
      <c r="F80" s="125" t="s">
        <v>45</v>
      </c>
      <c r="G80" s="104" t="s">
        <v>116</v>
      </c>
      <c r="H80" s="127" t="str">
        <f t="shared" ref="H80:H81" si="2">"T1."&amp;G80</f>
        <v>T1.EXP_REV_PKE_DT</v>
      </c>
      <c r="I80" s="104"/>
    </row>
    <row r="81" spans="1:9">
      <c r="A81" s="124">
        <v>66</v>
      </c>
      <c r="B81" s="104" t="s">
        <v>117</v>
      </c>
      <c r="C81" s="104"/>
      <c r="D81" s="104"/>
      <c r="E81" s="104" t="s">
        <v>47</v>
      </c>
      <c r="F81" s="125" t="s">
        <v>45</v>
      </c>
      <c r="G81" s="104" t="s">
        <v>117</v>
      </c>
      <c r="H81" s="127" t="str">
        <f t="shared" si="2"/>
        <v>T1.RATING_CURR_DT</v>
      </c>
      <c r="I81" s="104"/>
    </row>
    <row r="82" spans="1:9">
      <c r="A82" s="124">
        <v>67</v>
      </c>
      <c r="B82" s="104" t="s">
        <v>118</v>
      </c>
      <c r="C82" s="104"/>
      <c r="D82" s="104"/>
      <c r="E82" s="104" t="s">
        <v>211</v>
      </c>
      <c r="F82" s="125" t="s">
        <v>45</v>
      </c>
      <c r="G82" s="104" t="s">
        <v>118</v>
      </c>
      <c r="H82" s="127" t="str">
        <f t="shared" ref="H82:H128" si="3">"ISNULL(T1."&amp;G82&amp;", '')"</f>
        <v>ISNULL(T1.GROUP_LIMIT, '')</v>
      </c>
      <c r="I82" s="104"/>
    </row>
    <row r="83" spans="1:9">
      <c r="A83" s="124">
        <v>68</v>
      </c>
      <c r="B83" s="104" t="s">
        <v>119</v>
      </c>
      <c r="C83" s="104"/>
      <c r="D83" s="104"/>
      <c r="E83" s="104" t="s">
        <v>218</v>
      </c>
      <c r="F83" s="125" t="s">
        <v>45</v>
      </c>
      <c r="G83" s="104" t="s">
        <v>119</v>
      </c>
      <c r="H83" s="127" t="str">
        <f>"ISNULL(T1."&amp;G83&amp;", 0)"</f>
        <v>ISNULL(T1.RATE_FCY, 0)</v>
      </c>
      <c r="I83" s="104"/>
    </row>
    <row r="84" spans="1:9">
      <c r="A84" s="124">
        <v>69</v>
      </c>
      <c r="B84" s="104" t="s">
        <v>120</v>
      </c>
      <c r="C84" s="104"/>
      <c r="D84" s="104"/>
      <c r="E84" s="104" t="s">
        <v>219</v>
      </c>
      <c r="F84" s="125" t="s">
        <v>45</v>
      </c>
      <c r="G84" s="104" t="s">
        <v>120</v>
      </c>
      <c r="H84" s="127" t="str">
        <f t="shared" si="3"/>
        <v>ISNULL(T1.RATE_FLOAT_REF, '')</v>
      </c>
      <c r="I84" s="104"/>
    </row>
    <row r="85" spans="1:9">
      <c r="A85" s="124">
        <v>70</v>
      </c>
      <c r="B85" s="104" t="s">
        <v>121</v>
      </c>
      <c r="C85" s="104" t="s">
        <v>226</v>
      </c>
      <c r="D85" s="104"/>
      <c r="E85" s="104" t="s">
        <v>84</v>
      </c>
      <c r="F85" s="125" t="s">
        <v>45</v>
      </c>
      <c r="G85" s="104" t="s">
        <v>121</v>
      </c>
      <c r="H85" s="127" t="str">
        <f t="shared" si="3"/>
        <v>ISNULL(T1.LIMIT_RENEW_CNT, '')</v>
      </c>
      <c r="I85" s="104"/>
    </row>
    <row r="86" spans="1:9">
      <c r="A86" s="124">
        <v>71</v>
      </c>
      <c r="B86" s="104" t="s">
        <v>122</v>
      </c>
      <c r="C86" s="104" t="s">
        <v>227</v>
      </c>
      <c r="D86" s="104"/>
      <c r="E86" s="104" t="s">
        <v>228</v>
      </c>
      <c r="F86" s="125" t="s">
        <v>45</v>
      </c>
      <c r="G86" s="104" t="s">
        <v>122</v>
      </c>
      <c r="H86" s="127" t="str">
        <f t="shared" ref="H86:H87" si="4">"ISNULL(T1."&amp;G86&amp;", 0)"</f>
        <v>ISNULL(T1.PRJ_AMT, 0)</v>
      </c>
      <c r="I86" s="104"/>
    </row>
    <row r="87" spans="1:9">
      <c r="A87" s="124">
        <v>72</v>
      </c>
      <c r="B87" s="104" t="s">
        <v>123</v>
      </c>
      <c r="C87" s="104"/>
      <c r="D87" s="104"/>
      <c r="E87" s="104" t="s">
        <v>228</v>
      </c>
      <c r="F87" s="125" t="s">
        <v>45</v>
      </c>
      <c r="G87" s="104" t="s">
        <v>123</v>
      </c>
      <c r="H87" s="127" t="str">
        <f t="shared" si="4"/>
        <v>ISNULL(T1.COLL_AMT, 0)</v>
      </c>
      <c r="I87" s="104"/>
    </row>
    <row r="88" spans="1:9">
      <c r="A88" s="124">
        <v>73</v>
      </c>
      <c r="B88" s="104" t="s">
        <v>124</v>
      </c>
      <c r="C88" s="104"/>
      <c r="D88" s="104"/>
      <c r="E88" s="104" t="s">
        <v>229</v>
      </c>
      <c r="F88" s="125" t="s">
        <v>45</v>
      </c>
      <c r="G88" s="104" t="s">
        <v>230</v>
      </c>
      <c r="H88" s="127" t="str">
        <f t="shared" si="3"/>
        <v>ISNULL(T1.COLLECTABILITY, '')</v>
      </c>
      <c r="I88" s="104"/>
    </row>
    <row r="89" spans="1:9">
      <c r="A89" s="124">
        <v>74</v>
      </c>
      <c r="B89" s="104" t="s">
        <v>125</v>
      </c>
      <c r="C89" s="104" t="s">
        <v>231</v>
      </c>
      <c r="D89" s="104"/>
      <c r="E89" s="104" t="s">
        <v>211</v>
      </c>
      <c r="F89" s="125" t="s">
        <v>45</v>
      </c>
      <c r="G89" s="104" t="s">
        <v>125</v>
      </c>
      <c r="H89" s="127" t="str">
        <f t="shared" si="3"/>
        <v>ISNULL(T1.LIMIT_STATUS, '')</v>
      </c>
      <c r="I89" s="104"/>
    </row>
    <row r="90" spans="1:9">
      <c r="A90" s="124">
        <v>75</v>
      </c>
      <c r="B90" s="104" t="s">
        <v>126</v>
      </c>
      <c r="C90" s="104"/>
      <c r="D90" s="104"/>
      <c r="E90" s="104" t="s">
        <v>217</v>
      </c>
      <c r="F90" s="125" t="s">
        <v>45</v>
      </c>
      <c r="G90" s="104" t="s">
        <v>126</v>
      </c>
      <c r="H90" s="127" t="str">
        <f t="shared" si="3"/>
        <v>ISNULL(T1.RECORD_STATUS, '')</v>
      </c>
      <c r="I90" s="104"/>
    </row>
    <row r="91" spans="1:9">
      <c r="A91" s="124">
        <v>76</v>
      </c>
      <c r="B91" s="104" t="s">
        <v>232</v>
      </c>
      <c r="C91" s="104" t="s">
        <v>233</v>
      </c>
      <c r="D91" s="104"/>
      <c r="E91" s="104" t="s">
        <v>218</v>
      </c>
      <c r="F91" s="125" t="s">
        <v>45</v>
      </c>
      <c r="G91" s="104" t="s">
        <v>232</v>
      </c>
      <c r="H91" s="127" t="str">
        <f t="shared" ref="H91:H98" si="5">"ISNULL(T1."&amp;G91&amp;", 0)"</f>
        <v>ISNULL(T1.ORI_INIT_LIMIT_AMT, 0)</v>
      </c>
      <c r="I91" s="104"/>
    </row>
    <row r="92" spans="1:9">
      <c r="A92" s="124">
        <v>77</v>
      </c>
      <c r="B92" s="104" t="s">
        <v>128</v>
      </c>
      <c r="C92" s="104" t="s">
        <v>234</v>
      </c>
      <c r="D92" s="104"/>
      <c r="E92" s="104" t="s">
        <v>218</v>
      </c>
      <c r="F92" s="125" t="s">
        <v>45</v>
      </c>
      <c r="G92" s="104" t="s">
        <v>128</v>
      </c>
      <c r="H92" s="127" t="str">
        <f t="shared" si="5"/>
        <v>ISNULL(T1.LCY_INIT_LIMIT_AMT, 0)</v>
      </c>
      <c r="I92" s="104"/>
    </row>
    <row r="93" spans="1:9">
      <c r="A93" s="124">
        <v>78</v>
      </c>
      <c r="B93" s="104" t="s">
        <v>235</v>
      </c>
      <c r="C93" s="104" t="s">
        <v>236</v>
      </c>
      <c r="D93" s="104"/>
      <c r="E93" s="104" t="s">
        <v>218</v>
      </c>
      <c r="F93" s="125" t="s">
        <v>45</v>
      </c>
      <c r="G93" s="104" t="s">
        <v>235</v>
      </c>
      <c r="H93" s="127" t="str">
        <f t="shared" si="5"/>
        <v>ISNULL(T1.ORI_LIMIT_AMT, 0)</v>
      </c>
      <c r="I93" s="104"/>
    </row>
    <row r="94" spans="1:9">
      <c r="A94" s="124">
        <v>79</v>
      </c>
      <c r="B94" s="104" t="s">
        <v>130</v>
      </c>
      <c r="C94" s="104" t="s">
        <v>237</v>
      </c>
      <c r="D94" s="104"/>
      <c r="E94" s="104" t="s">
        <v>218</v>
      </c>
      <c r="F94" s="125" t="s">
        <v>45</v>
      </c>
      <c r="G94" s="104" t="s">
        <v>130</v>
      </c>
      <c r="H94" s="127" t="str">
        <f t="shared" si="5"/>
        <v>ISNULL(T1.LCY_LIMIT_AMT, 0)</v>
      </c>
      <c r="I94" s="104"/>
    </row>
    <row r="95" spans="1:9">
      <c r="A95" s="124">
        <v>80</v>
      </c>
      <c r="B95" s="104" t="s">
        <v>131</v>
      </c>
      <c r="C95" s="104"/>
      <c r="D95" s="104"/>
      <c r="E95" s="104" t="s">
        <v>218</v>
      </c>
      <c r="F95" s="125" t="s">
        <v>45</v>
      </c>
      <c r="G95" s="104" t="s">
        <v>131</v>
      </c>
      <c r="H95" s="127" t="str">
        <f t="shared" si="5"/>
        <v>ISNULL(T1.LCY_BAL, 0)</v>
      </c>
      <c r="I95" s="104"/>
    </row>
    <row r="96" spans="1:9">
      <c r="A96" s="124">
        <v>81</v>
      </c>
      <c r="B96" s="104" t="s">
        <v>238</v>
      </c>
      <c r="C96" s="104"/>
      <c r="D96" s="104"/>
      <c r="E96" s="104" t="s">
        <v>218</v>
      </c>
      <c r="F96" s="125" t="s">
        <v>45</v>
      </c>
      <c r="G96" s="104" t="s">
        <v>238</v>
      </c>
      <c r="H96" s="127" t="str">
        <f t="shared" si="5"/>
        <v>ISNULL(T1.ORI_BAL, 0)</v>
      </c>
      <c r="I96" s="104"/>
    </row>
    <row r="97" spans="1:9">
      <c r="A97" s="124">
        <v>82</v>
      </c>
      <c r="B97" s="104" t="s">
        <v>133</v>
      </c>
      <c r="C97" s="104"/>
      <c r="D97" s="104"/>
      <c r="E97" s="104" t="s">
        <v>218</v>
      </c>
      <c r="F97" s="125" t="s">
        <v>45</v>
      </c>
      <c r="G97" s="104" t="s">
        <v>133</v>
      </c>
      <c r="H97" s="127" t="str">
        <f t="shared" si="5"/>
        <v>ISNULL(T1.LCY_AVAIL, 0)</v>
      </c>
      <c r="I97" s="104"/>
    </row>
    <row r="98" spans="1:9">
      <c r="A98" s="124">
        <v>83</v>
      </c>
      <c r="B98" s="104" t="s">
        <v>239</v>
      </c>
      <c r="C98" s="104"/>
      <c r="D98" s="104"/>
      <c r="E98" s="104" t="s">
        <v>218</v>
      </c>
      <c r="F98" s="125" t="s">
        <v>45</v>
      </c>
      <c r="G98" s="104" t="s">
        <v>239</v>
      </c>
      <c r="H98" s="127" t="str">
        <f t="shared" si="5"/>
        <v>ISNULL(T1.ORI_AVAIL, 0)</v>
      </c>
      <c r="I98" s="104"/>
    </row>
    <row r="99" spans="1:9">
      <c r="A99" s="124">
        <v>84</v>
      </c>
      <c r="B99" s="104" t="s">
        <v>135</v>
      </c>
      <c r="C99" s="104"/>
      <c r="D99" s="104"/>
      <c r="E99" s="104" t="s">
        <v>47</v>
      </c>
      <c r="F99" s="125" t="s">
        <v>45</v>
      </c>
      <c r="G99" s="104" t="s">
        <v>135</v>
      </c>
      <c r="H99" s="127" t="str">
        <f t="shared" ref="H99" si="6">"T1."&amp;G99</f>
        <v>T1.LAST_AVAIL_DT</v>
      </c>
      <c r="I99" s="104"/>
    </row>
    <row r="100" spans="1:9">
      <c r="A100" s="124">
        <v>85</v>
      </c>
      <c r="B100" s="104" t="s">
        <v>136</v>
      </c>
      <c r="C100" s="104"/>
      <c r="D100" s="104"/>
      <c r="E100" s="104" t="s">
        <v>218</v>
      </c>
      <c r="F100" s="125" t="s">
        <v>45</v>
      </c>
      <c r="G100" s="104" t="s">
        <v>136</v>
      </c>
      <c r="H100" s="127" t="str">
        <f t="shared" ref="H100:H109" si="7">"ISNULL(T1."&amp;G100&amp;", 0)"</f>
        <v>ISNULL(T1.LCY_UTILIZATION, 0)</v>
      </c>
      <c r="I100" s="104"/>
    </row>
    <row r="101" spans="1:9">
      <c r="A101" s="124">
        <v>86</v>
      </c>
      <c r="B101" s="104" t="s">
        <v>240</v>
      </c>
      <c r="C101" s="104"/>
      <c r="D101" s="104"/>
      <c r="E101" s="104" t="s">
        <v>218</v>
      </c>
      <c r="F101" s="125" t="s">
        <v>45</v>
      </c>
      <c r="G101" s="104" t="s">
        <v>240</v>
      </c>
      <c r="H101" s="127" t="str">
        <f t="shared" si="7"/>
        <v>ISNULL(T1.ORI_UTILIZATION, 0)</v>
      </c>
      <c r="I101" s="104"/>
    </row>
    <row r="102" spans="1:9">
      <c r="A102" s="124">
        <v>87</v>
      </c>
      <c r="B102" s="104" t="s">
        <v>241</v>
      </c>
      <c r="C102" s="104" t="s">
        <v>242</v>
      </c>
      <c r="D102" s="104"/>
      <c r="E102" s="104" t="s">
        <v>218</v>
      </c>
      <c r="F102" s="125" t="s">
        <v>45</v>
      </c>
      <c r="G102" s="104" t="s">
        <v>241</v>
      </c>
      <c r="H102" s="127" t="str">
        <f t="shared" si="7"/>
        <v>ISNULL(T1.ORI_MARKET_LIMIT_AMT, 0)</v>
      </c>
      <c r="I102" s="104"/>
    </row>
    <row r="103" spans="1:9">
      <c r="A103" s="124">
        <v>88</v>
      </c>
      <c r="B103" s="104" t="s">
        <v>139</v>
      </c>
      <c r="C103" s="104" t="s">
        <v>242</v>
      </c>
      <c r="D103" s="104"/>
      <c r="E103" s="104" t="s">
        <v>218</v>
      </c>
      <c r="F103" s="125" t="s">
        <v>45</v>
      </c>
      <c r="G103" s="104" t="s">
        <v>139</v>
      </c>
      <c r="H103" s="127" t="str">
        <f t="shared" si="7"/>
        <v>ISNULL(T1.LCY_MARKET_LIMIT_AMT, 0)</v>
      </c>
      <c r="I103" s="104"/>
    </row>
    <row r="104" spans="1:9">
      <c r="A104" s="124">
        <v>89</v>
      </c>
      <c r="B104" s="104" t="s">
        <v>243</v>
      </c>
      <c r="C104" s="104" t="s">
        <v>244</v>
      </c>
      <c r="D104" s="104"/>
      <c r="E104" s="104" t="s">
        <v>218</v>
      </c>
      <c r="F104" s="125" t="s">
        <v>45</v>
      </c>
      <c r="G104" s="104" t="s">
        <v>243</v>
      </c>
      <c r="H104" s="127" t="str">
        <f t="shared" si="7"/>
        <v>ISNULL(T1.ORI_DISBURSE_AVAIL, 0)</v>
      </c>
      <c r="I104" s="104"/>
    </row>
    <row r="105" spans="1:9">
      <c r="A105" s="124">
        <v>90</v>
      </c>
      <c r="B105" s="104" t="s">
        <v>141</v>
      </c>
      <c r="C105" s="104" t="s">
        <v>245</v>
      </c>
      <c r="D105" s="104"/>
      <c r="E105" s="104" t="s">
        <v>218</v>
      </c>
      <c r="F105" s="125" t="s">
        <v>45</v>
      </c>
      <c r="G105" s="104" t="s">
        <v>141</v>
      </c>
      <c r="H105" s="127" t="str">
        <f t="shared" si="7"/>
        <v>ISNULL(T1.LCY_DISBURSE_AVAIL, 0)</v>
      </c>
      <c r="I105" s="104"/>
    </row>
    <row r="106" spans="1:9">
      <c r="A106" s="124">
        <v>91</v>
      </c>
      <c r="B106" s="104" t="s">
        <v>246</v>
      </c>
      <c r="C106" s="104" t="s">
        <v>247</v>
      </c>
      <c r="D106" s="104"/>
      <c r="E106" s="104" t="s">
        <v>218</v>
      </c>
      <c r="F106" s="125" t="s">
        <v>45</v>
      </c>
      <c r="G106" s="104" t="s">
        <v>246</v>
      </c>
      <c r="H106" s="127" t="str">
        <f t="shared" si="7"/>
        <v>ISNULL(T1.ORI_EXPOSURE, 0)</v>
      </c>
      <c r="I106" s="104"/>
    </row>
    <row r="107" spans="1:9">
      <c r="A107" s="124">
        <v>92</v>
      </c>
      <c r="B107" s="104" t="s">
        <v>143</v>
      </c>
      <c r="C107" s="104" t="s">
        <v>247</v>
      </c>
      <c r="D107" s="104"/>
      <c r="E107" s="104" t="s">
        <v>218</v>
      </c>
      <c r="F107" s="125" t="s">
        <v>45</v>
      </c>
      <c r="G107" s="104" t="s">
        <v>143</v>
      </c>
      <c r="H107" s="127" t="str">
        <f t="shared" si="7"/>
        <v>ISNULL(T1.LCY_EXPOSURE, 0)</v>
      </c>
      <c r="I107" s="104"/>
    </row>
    <row r="108" spans="1:9">
      <c r="A108" s="124">
        <v>93</v>
      </c>
      <c r="B108" s="104" t="s">
        <v>144</v>
      </c>
      <c r="C108" s="104"/>
      <c r="D108" s="104"/>
      <c r="E108" s="104" t="s">
        <v>218</v>
      </c>
      <c r="F108" s="125" t="s">
        <v>45</v>
      </c>
      <c r="G108" s="104" t="s">
        <v>144</v>
      </c>
      <c r="H108" s="127" t="str">
        <f t="shared" si="7"/>
        <v>ISNULL(T1.CUM_REALIZATION, 0)</v>
      </c>
      <c r="I108" s="104"/>
    </row>
    <row r="109" spans="1:9">
      <c r="A109" s="124">
        <v>94</v>
      </c>
      <c r="B109" s="104" t="s">
        <v>145</v>
      </c>
      <c r="C109" s="104"/>
      <c r="D109" s="104"/>
      <c r="E109" s="104" t="s">
        <v>218</v>
      </c>
      <c r="F109" s="125" t="s">
        <v>45</v>
      </c>
      <c r="G109" s="104" t="s">
        <v>145</v>
      </c>
      <c r="H109" s="127" t="str">
        <f t="shared" si="7"/>
        <v>ISNULL(T1.PPAP, 0)</v>
      </c>
      <c r="I109" s="104"/>
    </row>
    <row r="110" spans="1:9">
      <c r="A110" s="124">
        <v>95</v>
      </c>
      <c r="B110" s="104" t="s">
        <v>146</v>
      </c>
      <c r="C110" s="104" t="s">
        <v>248</v>
      </c>
      <c r="D110" s="104"/>
      <c r="E110" s="104" t="s">
        <v>204</v>
      </c>
      <c r="F110" s="125" t="s">
        <v>45</v>
      </c>
      <c r="G110" s="104" t="s">
        <v>146</v>
      </c>
      <c r="H110" s="127" t="str">
        <f t="shared" si="3"/>
        <v>ISNULL(T1.REVOLVING, '')</v>
      </c>
      <c r="I110" s="104"/>
    </row>
    <row r="111" spans="1:9">
      <c r="A111" s="124">
        <v>96</v>
      </c>
      <c r="B111" s="104" t="s">
        <v>147</v>
      </c>
      <c r="C111" s="104"/>
      <c r="D111" s="104"/>
      <c r="E111" s="104" t="s">
        <v>206</v>
      </c>
      <c r="F111" s="125" t="s">
        <v>45</v>
      </c>
      <c r="G111" s="104" t="s">
        <v>147</v>
      </c>
      <c r="H111" s="127" t="str">
        <f t="shared" si="3"/>
        <v>ISNULL(T1.RE_ASSURANCE, '')</v>
      </c>
      <c r="I111" s="104"/>
    </row>
    <row r="112" spans="1:9">
      <c r="A112" s="124">
        <v>97</v>
      </c>
      <c r="B112" s="104" t="s">
        <v>148</v>
      </c>
      <c r="C112" s="104"/>
      <c r="D112" s="104"/>
      <c r="E112" s="104" t="s">
        <v>204</v>
      </c>
      <c r="F112" s="125" t="s">
        <v>45</v>
      </c>
      <c r="G112" s="104" t="s">
        <v>249</v>
      </c>
      <c r="H112" s="127" t="str">
        <f t="shared" si="3"/>
        <v>ISNULL(T1.DIFN, '')</v>
      </c>
      <c r="I112" s="104"/>
    </row>
    <row r="113" spans="1:9">
      <c r="A113" s="124">
        <v>98</v>
      </c>
      <c r="B113" s="104" t="s">
        <v>149</v>
      </c>
      <c r="C113" s="104"/>
      <c r="D113" s="104"/>
      <c r="E113" s="104" t="s">
        <v>204</v>
      </c>
      <c r="F113" s="125" t="s">
        <v>45</v>
      </c>
      <c r="G113" s="104" t="s">
        <v>149</v>
      </c>
      <c r="H113" s="127" t="str">
        <f t="shared" si="3"/>
        <v>ISNULL(T1.MAIN_LIMIT_REF, '')</v>
      </c>
      <c r="I113" s="104"/>
    </row>
    <row r="114" spans="1:9">
      <c r="A114" s="124">
        <v>99</v>
      </c>
      <c r="B114" s="104" t="s">
        <v>150</v>
      </c>
      <c r="C114" s="104"/>
      <c r="D114" s="104"/>
      <c r="E114" s="104" t="s">
        <v>204</v>
      </c>
      <c r="F114" s="125" t="s">
        <v>45</v>
      </c>
      <c r="G114" s="104" t="s">
        <v>150</v>
      </c>
      <c r="H114" s="127" t="str">
        <f t="shared" si="3"/>
        <v>ISNULL(T1.MAIN_LINE, '')</v>
      </c>
      <c r="I114" s="104"/>
    </row>
    <row r="115" spans="1:9">
      <c r="A115" s="124">
        <v>100</v>
      </c>
      <c r="B115" s="104" t="s">
        <v>151</v>
      </c>
      <c r="C115" s="104"/>
      <c r="D115" s="104"/>
      <c r="E115" s="104" t="s">
        <v>206</v>
      </c>
      <c r="F115" s="125" t="s">
        <v>45</v>
      </c>
      <c r="G115" s="104" t="s">
        <v>151</v>
      </c>
      <c r="H115" s="127" t="str">
        <f t="shared" si="3"/>
        <v>ISNULL(T1.MAIN_LINE_ID, '')</v>
      </c>
      <c r="I115" s="104"/>
    </row>
    <row r="116" spans="1:9">
      <c r="A116" s="124">
        <v>101</v>
      </c>
      <c r="B116" s="104" t="s">
        <v>152</v>
      </c>
      <c r="C116" s="104"/>
      <c r="D116" s="104"/>
      <c r="E116" s="104" t="s">
        <v>213</v>
      </c>
      <c r="F116" s="125" t="s">
        <v>45</v>
      </c>
      <c r="G116" s="104" t="s">
        <v>152</v>
      </c>
      <c r="H116" s="127" t="str">
        <f t="shared" si="3"/>
        <v>ISNULL(T1.DATA_ID, '')</v>
      </c>
      <c r="I116" s="104"/>
    </row>
    <row r="117" spans="1:9">
      <c r="A117" s="124">
        <v>102</v>
      </c>
      <c r="B117" s="104" t="s">
        <v>153</v>
      </c>
      <c r="C117" s="104"/>
      <c r="D117" s="104"/>
      <c r="E117" s="104" t="s">
        <v>206</v>
      </c>
      <c r="F117" s="125" t="s">
        <v>45</v>
      </c>
      <c r="G117" s="104" t="s">
        <v>153</v>
      </c>
      <c r="H117" s="127" t="str">
        <f t="shared" si="3"/>
        <v>ISNULL(T1.FAC_ID, '')</v>
      </c>
      <c r="I117" s="104"/>
    </row>
    <row r="118" spans="1:9">
      <c r="A118" s="124">
        <v>103</v>
      </c>
      <c r="B118" s="104" t="s">
        <v>154</v>
      </c>
      <c r="C118" s="104"/>
      <c r="D118" s="104"/>
      <c r="E118" s="104" t="s">
        <v>204</v>
      </c>
      <c r="F118" s="125" t="s">
        <v>45</v>
      </c>
      <c r="G118" s="104" t="s">
        <v>154</v>
      </c>
      <c r="H118" s="127" t="str">
        <f t="shared" si="3"/>
        <v>ISNULL(T1.NEW_ID, '')</v>
      </c>
      <c r="I118" s="104"/>
    </row>
    <row r="119" spans="1:9">
      <c r="A119" s="124">
        <v>104</v>
      </c>
      <c r="B119" s="104" t="s">
        <v>155</v>
      </c>
      <c r="C119" s="104"/>
      <c r="D119" s="104"/>
      <c r="E119" s="104" t="s">
        <v>213</v>
      </c>
      <c r="F119" s="125" t="s">
        <v>45</v>
      </c>
      <c r="G119" s="104" t="s">
        <v>155</v>
      </c>
      <c r="H119" s="127" t="str">
        <f t="shared" si="3"/>
        <v>ISNULL(T1.DEBTOR_CONDITION, '')</v>
      </c>
      <c r="I119" s="104"/>
    </row>
    <row r="120" spans="1:9">
      <c r="A120" s="124">
        <v>105</v>
      </c>
      <c r="B120" s="104" t="s">
        <v>156</v>
      </c>
      <c r="C120" s="104"/>
      <c r="D120" s="104"/>
      <c r="E120" s="104" t="s">
        <v>202</v>
      </c>
      <c r="F120" s="125" t="s">
        <v>45</v>
      </c>
      <c r="G120" s="104" t="s">
        <v>156</v>
      </c>
      <c r="H120" s="127" t="str">
        <f t="shared" si="3"/>
        <v>ISNULL(T1.DEBTOR_ISSUE, '')</v>
      </c>
      <c r="I120" s="104"/>
    </row>
    <row r="121" spans="1:9">
      <c r="A121" s="124">
        <v>106</v>
      </c>
      <c r="B121" s="104" t="s">
        <v>157</v>
      </c>
      <c r="C121" s="104"/>
      <c r="D121" s="104"/>
      <c r="E121" s="104" t="s">
        <v>211</v>
      </c>
      <c r="F121" s="125" t="s">
        <v>45</v>
      </c>
      <c r="G121" s="104" t="s">
        <v>157</v>
      </c>
      <c r="H121" s="127" t="str">
        <f t="shared" si="3"/>
        <v>ISNULL(T1.ORI_DEBTOR, '')</v>
      </c>
      <c r="I121" s="104"/>
    </row>
    <row r="122" spans="1:9">
      <c r="A122" s="124">
        <v>107</v>
      </c>
      <c r="B122" s="104" t="s">
        <v>158</v>
      </c>
      <c r="C122" s="104"/>
      <c r="D122" s="104"/>
      <c r="E122" s="104" t="s">
        <v>211</v>
      </c>
      <c r="F122" s="125"/>
      <c r="G122" s="104"/>
      <c r="H122" s="127" t="s">
        <v>250</v>
      </c>
      <c r="I122" s="104"/>
    </row>
    <row r="123" spans="1:9">
      <c r="A123" s="124">
        <v>108</v>
      </c>
      <c r="B123" s="104" t="s">
        <v>159</v>
      </c>
      <c r="C123" s="104"/>
      <c r="D123" s="104"/>
      <c r="E123" s="104" t="s">
        <v>228</v>
      </c>
      <c r="F123" s="125" t="s">
        <v>45</v>
      </c>
      <c r="G123" s="104" t="s">
        <v>159</v>
      </c>
      <c r="H123" s="127" t="str">
        <f>"ISNULL(T1."&amp;G123&amp;", 0)"</f>
        <v>ISNULL(T1.DISCOUNT, 0)</v>
      </c>
      <c r="I123" s="104"/>
    </row>
    <row r="124" spans="1:9">
      <c r="A124" s="124">
        <v>109</v>
      </c>
      <c r="B124" s="104" t="s">
        <v>160</v>
      </c>
      <c r="C124" s="104"/>
      <c r="D124" s="104"/>
      <c r="E124" s="104" t="s">
        <v>213</v>
      </c>
      <c r="F124" s="125" t="s">
        <v>45</v>
      </c>
      <c r="G124" s="104" t="s">
        <v>160</v>
      </c>
      <c r="H124" s="127" t="str">
        <f t="shared" si="3"/>
        <v>ISNULL(T1.IS_SUBLIMIT, '')</v>
      </c>
      <c r="I124" s="104"/>
    </row>
    <row r="125" spans="1:9">
      <c r="A125" s="124">
        <v>110</v>
      </c>
      <c r="B125" s="104" t="s">
        <v>161</v>
      </c>
      <c r="C125" s="104" t="s">
        <v>251</v>
      </c>
      <c r="D125" s="104"/>
      <c r="E125" s="104" t="s">
        <v>202</v>
      </c>
      <c r="F125" s="125" t="s">
        <v>45</v>
      </c>
      <c r="G125" s="104" t="s">
        <v>161</v>
      </c>
      <c r="H125" s="127" t="str">
        <f t="shared" si="3"/>
        <v>ISNULL(T1.NOTES_TXT, '')</v>
      </c>
      <c r="I125" s="104"/>
    </row>
    <row r="126" spans="1:9">
      <c r="A126" s="124">
        <v>111</v>
      </c>
      <c r="B126" s="104" t="s">
        <v>162</v>
      </c>
      <c r="C126" s="104"/>
      <c r="D126" s="104"/>
      <c r="E126" s="104" t="s">
        <v>252</v>
      </c>
      <c r="F126" s="125" t="s">
        <v>45</v>
      </c>
      <c r="G126" s="104" t="s">
        <v>162</v>
      </c>
      <c r="H126" s="127" t="str">
        <f t="shared" si="3"/>
        <v>ISNULL(T1.REVIEW_TERMS, '')</v>
      </c>
      <c r="I126" s="104"/>
    </row>
    <row r="127" spans="1:9">
      <c r="A127" s="124">
        <v>112</v>
      </c>
      <c r="B127" s="104" t="s">
        <v>163</v>
      </c>
      <c r="C127" s="104"/>
      <c r="D127" s="104"/>
      <c r="E127" s="104" t="s">
        <v>252</v>
      </c>
      <c r="F127" s="125" t="s">
        <v>45</v>
      </c>
      <c r="G127" s="104" t="s">
        <v>163</v>
      </c>
      <c r="H127" s="127" t="str">
        <f t="shared" si="3"/>
        <v>ISNULL(T1.CREDIT_NATURE, '')</v>
      </c>
      <c r="I127" s="104"/>
    </row>
    <row r="128" spans="1:9" ht="15">
      <c r="A128" s="124">
        <v>113</v>
      </c>
      <c r="B128" s="104" t="s">
        <v>164</v>
      </c>
      <c r="C128" s="104"/>
      <c r="D128" s="104"/>
      <c r="E128" s="112" t="s">
        <v>252</v>
      </c>
      <c r="F128" s="125" t="s">
        <v>45</v>
      </c>
      <c r="G128" s="104" t="s">
        <v>164</v>
      </c>
      <c r="H128" s="127" t="str">
        <f t="shared" si="3"/>
        <v>ISNULL(T1.FAC_CONDITION, '')</v>
      </c>
      <c r="I128" s="112"/>
    </row>
    <row r="129" spans="1:11" s="53" customFormat="1" ht="15">
      <c r="A129" s="60">
        <v>114</v>
      </c>
      <c r="B129" s="61" t="s">
        <v>253</v>
      </c>
      <c r="C129" s="61"/>
      <c r="D129" s="65"/>
      <c r="E129" s="69" t="s">
        <v>217</v>
      </c>
      <c r="F129" s="67" t="s">
        <v>45</v>
      </c>
      <c r="G129" s="61" t="s">
        <v>253</v>
      </c>
      <c r="H129" s="66" t="str">
        <f>"ISNULL(T1."&amp;G129&amp;",'')"</f>
        <v>ISNULL(T1.IS_CHILD,'')</v>
      </c>
      <c r="I129" s="61"/>
      <c r="J129" s="62"/>
      <c r="K129" s="62"/>
    </row>
    <row r="130" spans="1:11" s="53" customFormat="1" ht="15">
      <c r="A130" s="60">
        <v>115</v>
      </c>
      <c r="B130" s="61" t="s">
        <v>254</v>
      </c>
      <c r="C130" s="61"/>
      <c r="D130" s="65"/>
      <c r="E130" s="69" t="s">
        <v>204</v>
      </c>
      <c r="F130" s="68" t="s">
        <v>45</v>
      </c>
      <c r="G130" s="64" t="s">
        <v>254</v>
      </c>
      <c r="H130" s="63" t="str">
        <f>"ISNULL(T1."&amp;G130&amp;",'')"</f>
        <v>ISNULL(T1.PARENT_LINE_CODE,'')</v>
      </c>
      <c r="I130" s="61"/>
      <c r="J130" s="62"/>
      <c r="K130" s="62"/>
    </row>
    <row r="131" spans="1:11" ht="15"/>
  </sheetData>
  <autoFilter ref="A15:I128" xr:uid="{185707E4-AEAD-4F2E-9614-58435E8FA599}"/>
  <mergeCells count="3">
    <mergeCell ref="A1:C1"/>
    <mergeCell ref="F14:I14"/>
    <mergeCell ref="A14:E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E14E-B846-445B-82FE-F0D4407D7BFC}">
  <dimension ref="A1:I5"/>
  <sheetViews>
    <sheetView zoomScale="80" zoomScaleNormal="80" workbookViewId="0">
      <pane ySplit="1" topLeftCell="A2" activePane="bottomLeft" state="frozen"/>
      <selection pane="bottomLeft" activeCell="A2" sqref="A2"/>
      <selection activeCell="C4" sqref="C4"/>
    </sheetView>
  </sheetViews>
  <sheetFormatPr defaultRowHeight="14.45"/>
  <cols>
    <col min="1" max="1" width="39" bestFit="1" customWidth="1"/>
    <col min="2" max="2" width="20.5703125" customWidth="1"/>
    <col min="3" max="4" width="8.7109375" customWidth="1"/>
    <col min="5" max="5" width="20.5703125" customWidth="1"/>
    <col min="6" max="7" width="8.7109375" customWidth="1"/>
    <col min="8" max="8" width="50.5703125" customWidth="1"/>
    <col min="9" max="9" width="12" bestFit="1" customWidth="1"/>
  </cols>
  <sheetData>
    <row r="1" spans="1:9">
      <c r="A1" s="26" t="s">
        <v>255</v>
      </c>
      <c r="B1" s="26" t="s">
        <v>256</v>
      </c>
      <c r="C1" s="26" t="s">
        <v>257</v>
      </c>
      <c r="D1" s="26" t="s">
        <v>258</v>
      </c>
      <c r="E1" s="26" t="s">
        <v>259</v>
      </c>
      <c r="F1" s="26" t="s">
        <v>260</v>
      </c>
      <c r="G1" s="26" t="s">
        <v>261</v>
      </c>
      <c r="H1" s="26" t="s">
        <v>262</v>
      </c>
      <c r="I1" s="26" t="s">
        <v>263</v>
      </c>
    </row>
    <row r="2" spans="1:9">
      <c r="A2" s="27"/>
      <c r="I2" s="27"/>
    </row>
    <row r="3" spans="1:9">
      <c r="A3" s="27"/>
      <c r="I3" s="27"/>
    </row>
    <row r="4" spans="1:9">
      <c r="A4" s="27"/>
      <c r="I4" s="27"/>
    </row>
    <row r="5" spans="1:9">
      <c r="A5" s="27"/>
      <c r="I5" s="2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79BBEED5B05943AA8E969F9110B542" ma:contentTypeVersion="10" ma:contentTypeDescription="Create a new document." ma:contentTypeScope="" ma:versionID="7dd645ad7e7adf63edade9bca53b4b5a">
  <xsd:schema xmlns:xsd="http://www.w3.org/2001/XMLSchema" xmlns:xs="http://www.w3.org/2001/XMLSchema" xmlns:p="http://schemas.microsoft.com/office/2006/metadata/properties" xmlns:ns2="d6cc8617-0d1b-4cb9-9289-f7a8b2a88cb1" xmlns:ns3="fd025c85-17b9-467c-bb1f-dd2de574a75d" targetNamespace="http://schemas.microsoft.com/office/2006/metadata/properties" ma:root="true" ma:fieldsID="9e6dce97ee938125bd4962f99e752a7e" ns2:_="" ns3:_="">
    <xsd:import namespace="d6cc8617-0d1b-4cb9-9289-f7a8b2a88cb1"/>
    <xsd:import namespace="fd025c85-17b9-467c-bb1f-dd2de574a7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c8617-0d1b-4cb9-9289-f7a8b2a88c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b4cb21c-1560-45c7-9c33-7a07e8e709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025c85-17b9-467c-bb1f-dd2de574a7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9f1851-9a99-403d-8d46-94169a8f1b7f}" ma:internalName="TaxCatchAll" ma:showField="CatchAllData" ma:web="fd025c85-17b9-467c-bb1f-dd2de574a7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025c85-17b9-467c-bb1f-dd2de574a75d" xsi:nil="true"/>
    <lcf76f155ced4ddcb4097134ff3c332f xmlns="d6cc8617-0d1b-4cb9-9289-f7a8b2a88c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441096-B0D1-4A3C-A044-666C0D090095}"/>
</file>

<file path=customXml/itemProps2.xml><?xml version="1.0" encoding="utf-8"?>
<ds:datastoreItem xmlns:ds="http://schemas.openxmlformats.org/officeDocument/2006/customXml" ds:itemID="{9D37F7B5-143E-4D5F-9AAF-567B034FBE63}"/>
</file>

<file path=customXml/itemProps3.xml><?xml version="1.0" encoding="utf-8"?>
<ds:datastoreItem xmlns:ds="http://schemas.openxmlformats.org/officeDocument/2006/customXml" ds:itemID="{24B43239-A990-4AED-BDEB-EDFBD13BFD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Widya Revin</dc:creator>
  <cp:keywords/>
  <dc:description/>
  <cp:lastModifiedBy/>
  <cp:revision/>
  <dcterms:created xsi:type="dcterms:W3CDTF">2025-04-22T15:29:06Z</dcterms:created>
  <dcterms:modified xsi:type="dcterms:W3CDTF">2026-09-01T20:53:03Z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0x0101003779BBEED5B05943AA8E969F9110B542</vt:lpwstr>
  </property>
</Properties>
</file>